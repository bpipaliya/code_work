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xml" ContentType="application/vnd.openxmlformats-officedocument.drawing+xml"/>
  <Override PartName="/xl/slicers/slicer1.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D:\bhave\Desktop\PyProgram\"/>
    </mc:Choice>
  </mc:AlternateContent>
  <xr:revisionPtr revIDLastSave="0" documentId="13_ncr:1_{4A6C4354-497D-49D5-9FDB-B0FB5D4423BD}" xr6:coauthVersionLast="47" xr6:coauthVersionMax="47" xr10:uidLastSave="{00000000-0000-0000-0000-000000000000}"/>
  <bookViews>
    <workbookView xWindow="-120" yWindow="-120" windowWidth="20730" windowHeight="11040" activeTab="5" xr2:uid="{1BBEFC71-2DD7-4A9E-BC9F-4939015074DA}"/>
  </bookViews>
  <sheets>
    <sheet name="N_BANK" sheetId="13" r:id="rId1"/>
    <sheet name="SENSEX" sheetId="14" r:id="rId2"/>
    <sheet name="BANKEX" sheetId="15" r:id="rId3"/>
    <sheet name="FINNIFTY" sheetId="16" r:id="rId4"/>
    <sheet name="NIFTY" sheetId="12" r:id="rId5"/>
    <sheet name="OptionChain" sheetId="1" r:id="rId6"/>
    <sheet name="OC" sheetId="11" r:id="rId7"/>
    <sheet name="BANK_NIFTY" sheetId="3" r:id="rId8"/>
    <sheet name="1.NIFTY" sheetId="2" r:id="rId9"/>
    <sheet name="1.BANKEX" sheetId="8" r:id="rId10"/>
    <sheet name="1.SENSEX" sheetId="9" r:id="rId11"/>
    <sheet name="1.FINNIFTY" sheetId="10" r:id="rId12"/>
    <sheet name="OIChart" sheetId="7" r:id="rId13"/>
    <sheet name="NData" sheetId="4" r:id="rId14"/>
    <sheet name="BNData" sheetId="5" r:id="rId15"/>
    <sheet name="PivotTable" sheetId="6" r:id="rId16"/>
  </sheets>
  <definedNames>
    <definedName name="Slicer_StrikePrice">#N/A</definedName>
  </definedNames>
  <calcPr calcId="191029"/>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16" l="1"/>
  <c r="B4" i="15"/>
  <c r="B4" i="14"/>
  <c r="B4" i="13"/>
  <c r="B4" i="12"/>
  <c r="O1" i="1"/>
  <c r="D1" i="1"/>
  <c r="BB3" i="1"/>
  <c r="BA3" i="1"/>
  <c r="AV1" i="1"/>
  <c r="AV8" i="1" s="1"/>
  <c r="AX8" i="1" s="1"/>
  <c r="AZ13" i="1"/>
  <c r="AZ12" i="1"/>
  <c r="AZ11" i="1"/>
  <c r="AZ10" i="1"/>
  <c r="AZ9" i="1"/>
  <c r="AZ8" i="1"/>
  <c r="AZ7" i="1"/>
  <c r="AZ6" i="1"/>
  <c r="AZ5" i="1"/>
  <c r="AZ4" i="1"/>
  <c r="AZ3" i="1"/>
  <c r="AQ3" i="1"/>
  <c r="AP3" i="1"/>
  <c r="AK1" i="1"/>
  <c r="AK8" i="1" s="1"/>
  <c r="AM8" i="1" s="1"/>
  <c r="AO13" i="1"/>
  <c r="AO12" i="1"/>
  <c r="AO11" i="1"/>
  <c r="AO10" i="1"/>
  <c r="AO9" i="1"/>
  <c r="AO8" i="1"/>
  <c r="AO7" i="1"/>
  <c r="AO6" i="1"/>
  <c r="AO5" i="1"/>
  <c r="AO4" i="1"/>
  <c r="AO3" i="1"/>
  <c r="AF3" i="1"/>
  <c r="AE3" i="1"/>
  <c r="Z1" i="1"/>
  <c r="Z8" i="1" s="1"/>
  <c r="Z9" i="1" s="1"/>
  <c r="Z10" i="1" s="1"/>
  <c r="Z11" i="1" s="1"/>
  <c r="Z12" i="1" s="1"/>
  <c r="Z13" i="1" s="1"/>
  <c r="AD13" i="1"/>
  <c r="AD12" i="1"/>
  <c r="AD11" i="1"/>
  <c r="AD10" i="1"/>
  <c r="AD9" i="1"/>
  <c r="AD8" i="1"/>
  <c r="AD7" i="1"/>
  <c r="AD6" i="1"/>
  <c r="AD5" i="1"/>
  <c r="AD4" i="1"/>
  <c r="AD3" i="1"/>
  <c r="U3" i="1"/>
  <c r="T3" i="1"/>
  <c r="J3" i="1"/>
  <c r="I3" i="1"/>
  <c r="AW8" i="1" l="1"/>
  <c r="AU8" i="1"/>
  <c r="AT8" i="1"/>
  <c r="AS8" i="1"/>
  <c r="AY8" i="1"/>
  <c r="AK9" i="1"/>
  <c r="AK10" i="1" s="1"/>
  <c r="AK11" i="1" s="1"/>
  <c r="AK12" i="1" s="1"/>
  <c r="AK13" i="1" s="1"/>
  <c r="AK7" i="1"/>
  <c r="AK6" i="1" s="1"/>
  <c r="AK5" i="1" s="1"/>
  <c r="AK4" i="1" s="1"/>
  <c r="AK3" i="1" s="1"/>
  <c r="Z7" i="1"/>
  <c r="Z6" i="1" s="1"/>
  <c r="Z5" i="1" s="1"/>
  <c r="Z4" i="1" s="1"/>
  <c r="Z3" i="1" s="1"/>
  <c r="AB9" i="1"/>
  <c r="AV9" i="1"/>
  <c r="AV10" i="1" s="1"/>
  <c r="AV11" i="1" s="1"/>
  <c r="AV12" i="1" s="1"/>
  <c r="AV13" i="1" s="1"/>
  <c r="AV7" i="1"/>
  <c r="AV6" i="1" s="1"/>
  <c r="AV5" i="1" s="1"/>
  <c r="AV4" i="1" s="1"/>
  <c r="AV3" i="1" s="1"/>
  <c r="AL8" i="1"/>
  <c r="AJ8" i="1"/>
  <c r="AI8" i="1"/>
  <c r="AH8" i="1"/>
  <c r="AN8" i="1"/>
  <c r="X9" i="1"/>
  <c r="X8" i="1"/>
  <c r="W8" i="1"/>
  <c r="AC8" i="1"/>
  <c r="Y9" i="1"/>
  <c r="AA9" i="1"/>
  <c r="W9" i="1"/>
  <c r="AC9" i="1"/>
  <c r="AB8" i="1"/>
  <c r="Y8" i="1"/>
  <c r="AA8" i="1"/>
  <c r="S4" i="1"/>
  <c r="S5" i="1"/>
  <c r="S6" i="1"/>
  <c r="S7" i="1"/>
  <c r="S8" i="1"/>
  <c r="S9" i="1"/>
  <c r="S10" i="1"/>
  <c r="S11" i="1"/>
  <c r="S12" i="1"/>
  <c r="S13" i="1"/>
  <c r="S3" i="1"/>
  <c r="H4" i="1"/>
  <c r="H5" i="1"/>
  <c r="H6" i="1"/>
  <c r="H7" i="1"/>
  <c r="H8" i="1"/>
  <c r="H9" i="1"/>
  <c r="H10" i="1"/>
  <c r="H11" i="1"/>
  <c r="H12" i="1"/>
  <c r="H13" i="1"/>
  <c r="H3" i="1"/>
  <c r="D8" i="1"/>
  <c r="A8" i="1" l="1"/>
  <c r="E8" i="1"/>
  <c r="B8" i="1"/>
  <c r="F8" i="1"/>
  <c r="C8" i="1"/>
  <c r="G8" i="1"/>
  <c r="AY9" i="1"/>
  <c r="AS9" i="1"/>
  <c r="AT9" i="1"/>
  <c r="AW9" i="1"/>
  <c r="AU9" i="1"/>
  <c r="AX9" i="1"/>
  <c r="AT6" i="1"/>
  <c r="AY6" i="1"/>
  <c r="AS6" i="1"/>
  <c r="AW6" i="1"/>
  <c r="AU6" i="1"/>
  <c r="AX6" i="1"/>
  <c r="AW7" i="1"/>
  <c r="AU7" i="1"/>
  <c r="AT7" i="1"/>
  <c r="AX7" i="1"/>
  <c r="AY7" i="1"/>
  <c r="AS7" i="1"/>
  <c r="AN9" i="1"/>
  <c r="AH9" i="1"/>
  <c r="AJ9" i="1"/>
  <c r="AI9" i="1"/>
  <c r="AL9" i="1"/>
  <c r="AM9" i="1"/>
  <c r="AL7" i="1"/>
  <c r="AJ7" i="1"/>
  <c r="AM7" i="1"/>
  <c r="AN7" i="1"/>
  <c r="AH7" i="1"/>
  <c r="AI7" i="1"/>
  <c r="AC10" i="1"/>
  <c r="W10" i="1"/>
  <c r="AA10" i="1"/>
  <c r="Y10" i="1"/>
  <c r="X10" i="1"/>
  <c r="AB10" i="1"/>
  <c r="X7" i="1"/>
  <c r="AC7" i="1"/>
  <c r="AA7" i="1"/>
  <c r="Y7" i="1"/>
  <c r="AB7" i="1"/>
  <c r="W7" i="1"/>
  <c r="O8" i="1"/>
  <c r="D9" i="1"/>
  <c r="D7" i="1"/>
  <c r="N8" i="1" l="1"/>
  <c r="M8" i="1"/>
  <c r="P8" i="1"/>
  <c r="R8" i="1"/>
  <c r="L8" i="1"/>
  <c r="Q8" i="1"/>
  <c r="E9" i="1"/>
  <c r="F9" i="1"/>
  <c r="A9" i="1"/>
  <c r="G9" i="1"/>
  <c r="B9" i="1"/>
  <c r="C9" i="1"/>
  <c r="G7" i="1"/>
  <c r="B7" i="1"/>
  <c r="C7" i="1"/>
  <c r="E7" i="1"/>
  <c r="F7" i="1"/>
  <c r="A7" i="1"/>
  <c r="AT10" i="1"/>
  <c r="AY10" i="1"/>
  <c r="AS10" i="1"/>
  <c r="AW10" i="1"/>
  <c r="AU10" i="1"/>
  <c r="AX10" i="1"/>
  <c r="AY5" i="1"/>
  <c r="AS5" i="1"/>
  <c r="AX5" i="1"/>
  <c r="AT5" i="1"/>
  <c r="AW5" i="1"/>
  <c r="AU5" i="1"/>
  <c r="AW11" i="1"/>
  <c r="AU11" i="1"/>
  <c r="AT11" i="1"/>
  <c r="AX11" i="1"/>
  <c r="AY11" i="1"/>
  <c r="AS11" i="1"/>
  <c r="AI10" i="1"/>
  <c r="AH10" i="1"/>
  <c r="AL10" i="1"/>
  <c r="AJ10" i="1"/>
  <c r="AM10" i="1"/>
  <c r="AN10" i="1"/>
  <c r="AL11" i="1"/>
  <c r="AJ11" i="1"/>
  <c r="AH11" i="1"/>
  <c r="AM11" i="1"/>
  <c r="AN11" i="1"/>
  <c r="AI11" i="1"/>
  <c r="AI6" i="1"/>
  <c r="AL6" i="1"/>
  <c r="AJ6" i="1"/>
  <c r="AM6" i="1"/>
  <c r="AN6" i="1"/>
  <c r="AH6" i="1"/>
  <c r="X11" i="1"/>
  <c r="AB11" i="1"/>
  <c r="W11" i="1"/>
  <c r="AA11" i="1"/>
  <c r="Y11" i="1"/>
  <c r="AC11" i="1"/>
  <c r="AC6" i="1"/>
  <c r="W6" i="1"/>
  <c r="Y6" i="1"/>
  <c r="X6" i="1"/>
  <c r="AA6" i="1"/>
  <c r="AB6" i="1"/>
  <c r="O7" i="1"/>
  <c r="O9" i="1"/>
  <c r="D6" i="1"/>
  <c r="D10" i="1"/>
  <c r="M7" i="1" l="1"/>
  <c r="R7" i="1"/>
  <c r="Q7" i="1"/>
  <c r="N7" i="1"/>
  <c r="P7" i="1"/>
  <c r="L7" i="1"/>
  <c r="P9" i="1"/>
  <c r="L9" i="1"/>
  <c r="Q9" i="1"/>
  <c r="N9" i="1"/>
  <c r="M9" i="1"/>
  <c r="R9" i="1"/>
  <c r="D11" i="1"/>
  <c r="F10" i="1"/>
  <c r="C10" i="1"/>
  <c r="G10" i="1"/>
  <c r="A10" i="1"/>
  <c r="E10" i="1"/>
  <c r="B10" i="1"/>
  <c r="F6" i="1"/>
  <c r="C6" i="1"/>
  <c r="G6" i="1"/>
  <c r="A6" i="1"/>
  <c r="E6" i="1"/>
  <c r="B6" i="1"/>
  <c r="AX12" i="1"/>
  <c r="AU12" i="1"/>
  <c r="AY12" i="1"/>
  <c r="AS12" i="1"/>
  <c r="AT12" i="1"/>
  <c r="AW12" i="1"/>
  <c r="AX4" i="1"/>
  <c r="AY4" i="1"/>
  <c r="AS4" i="1"/>
  <c r="AW4" i="1"/>
  <c r="AT4" i="1"/>
  <c r="AU4" i="1"/>
  <c r="AM12" i="1"/>
  <c r="AI12" i="1"/>
  <c r="AN12" i="1"/>
  <c r="AH12" i="1"/>
  <c r="AL12" i="1"/>
  <c r="AJ12" i="1"/>
  <c r="AN5" i="1"/>
  <c r="AH5" i="1"/>
  <c r="AM5" i="1"/>
  <c r="AI5" i="1"/>
  <c r="AL5" i="1"/>
  <c r="AJ5" i="1"/>
  <c r="AA12" i="1"/>
  <c r="Y12" i="1"/>
  <c r="AC12" i="1"/>
  <c r="AB12" i="1"/>
  <c r="W12" i="1"/>
  <c r="X12" i="1"/>
  <c r="AB5" i="1"/>
  <c r="X5" i="1"/>
  <c r="AA5" i="1"/>
  <c r="Y5" i="1"/>
  <c r="AC5" i="1"/>
  <c r="W5" i="1"/>
  <c r="O6" i="1"/>
  <c r="O10" i="1"/>
  <c r="D5" i="1"/>
  <c r="L10" i="1" l="1"/>
  <c r="Q10" i="1"/>
  <c r="P10" i="1"/>
  <c r="M10" i="1"/>
  <c r="R10" i="1"/>
  <c r="N10" i="1"/>
  <c r="O5" i="1"/>
  <c r="L6" i="1"/>
  <c r="Q6" i="1"/>
  <c r="M6" i="1"/>
  <c r="R6" i="1"/>
  <c r="P6" i="1"/>
  <c r="N6" i="1"/>
  <c r="E5" i="1"/>
  <c r="F5" i="1"/>
  <c r="A5" i="1"/>
  <c r="G5" i="1"/>
  <c r="B5" i="1"/>
  <c r="C5" i="1"/>
  <c r="G11" i="1"/>
  <c r="B11" i="1"/>
  <c r="C11" i="1"/>
  <c r="E11" i="1"/>
  <c r="F11" i="1"/>
  <c r="A11" i="1"/>
  <c r="AY13" i="1"/>
  <c r="AS13" i="1"/>
  <c r="AX13" i="1"/>
  <c r="AT13" i="1"/>
  <c r="AW13" i="1"/>
  <c r="AU13" i="1"/>
  <c r="AW3" i="1"/>
  <c r="AY3" i="1"/>
  <c r="AX3" i="1"/>
  <c r="AU3" i="1"/>
  <c r="AS3" i="1"/>
  <c r="AT3" i="1"/>
  <c r="AN13" i="1"/>
  <c r="AH13" i="1"/>
  <c r="AI13" i="1"/>
  <c r="AL13" i="1"/>
  <c r="AJ13" i="1"/>
  <c r="AM13" i="1"/>
  <c r="AM4" i="1"/>
  <c r="AN4" i="1"/>
  <c r="AH4" i="1"/>
  <c r="AI4" i="1"/>
  <c r="AL4" i="1"/>
  <c r="AJ4" i="1"/>
  <c r="AB13" i="1"/>
  <c r="Y13" i="1"/>
  <c r="AC13" i="1"/>
  <c r="W13" i="1"/>
  <c r="X13" i="1"/>
  <c r="AA13" i="1"/>
  <c r="AA4" i="1"/>
  <c r="Y4" i="1"/>
  <c r="W4" i="1"/>
  <c r="AB4" i="1"/>
  <c r="AC4" i="1"/>
  <c r="X4" i="1"/>
  <c r="O11" i="1"/>
  <c r="O12" i="1" s="1"/>
  <c r="O4" i="1"/>
  <c r="D4" i="1"/>
  <c r="D12" i="1"/>
  <c r="N4" i="1" l="1"/>
  <c r="M4" i="1"/>
  <c r="R4" i="1"/>
  <c r="P4" i="1"/>
  <c r="L4" i="1"/>
  <c r="Q4" i="1"/>
  <c r="P5" i="1"/>
  <c r="L5" i="1"/>
  <c r="Q5" i="1"/>
  <c r="N5" i="1"/>
  <c r="M5" i="1"/>
  <c r="R5" i="1"/>
  <c r="M11" i="1"/>
  <c r="R11" i="1"/>
  <c r="N11" i="1"/>
  <c r="L11" i="1"/>
  <c r="P11" i="1"/>
  <c r="Q11" i="1"/>
  <c r="N12" i="1"/>
  <c r="M12" i="1"/>
  <c r="P12" i="1"/>
  <c r="R12" i="1"/>
  <c r="L12" i="1"/>
  <c r="Q12" i="1"/>
  <c r="A4" i="1"/>
  <c r="E4" i="1"/>
  <c r="B4" i="1"/>
  <c r="F4" i="1"/>
  <c r="C4" i="1"/>
  <c r="G4" i="1"/>
  <c r="A12" i="1"/>
  <c r="E12" i="1"/>
  <c r="B12" i="1"/>
  <c r="F12" i="1"/>
  <c r="C12" i="1"/>
  <c r="G12" i="1"/>
  <c r="AM3" i="1"/>
  <c r="AN3" i="1"/>
  <c r="AL3" i="1"/>
  <c r="AJ3" i="1"/>
  <c r="AI3" i="1"/>
  <c r="AH3" i="1"/>
  <c r="AB3" i="1"/>
  <c r="AA3" i="1"/>
  <c r="AC3" i="1"/>
  <c r="Y3" i="1"/>
  <c r="X3" i="1"/>
  <c r="W3" i="1"/>
  <c r="O13" i="1"/>
  <c r="O3" i="1"/>
  <c r="D13" i="1"/>
  <c r="D3" i="1"/>
  <c r="N3" i="1" l="1"/>
  <c r="Q3" i="1"/>
  <c r="R3" i="1"/>
  <c r="P3" i="1"/>
  <c r="L3" i="1"/>
  <c r="M3" i="1"/>
  <c r="P13" i="1"/>
  <c r="L13" i="1"/>
  <c r="Q13" i="1"/>
  <c r="N13" i="1"/>
  <c r="M13" i="1"/>
  <c r="R13" i="1"/>
  <c r="F3" i="1"/>
  <c r="C3" i="1"/>
  <c r="G3" i="1"/>
  <c r="A3" i="1"/>
  <c r="E3" i="1"/>
  <c r="B3" i="1"/>
  <c r="E13" i="1"/>
  <c r="F13" i="1"/>
  <c r="A13" i="1"/>
  <c r="G13" i="1"/>
  <c r="B13" i="1"/>
  <c r="C13" i="1"/>
</calcChain>
</file>

<file path=xl/sharedStrings.xml><?xml version="1.0" encoding="utf-8"?>
<sst xmlns="http://schemas.openxmlformats.org/spreadsheetml/2006/main" count="1804" uniqueCount="585">
  <si>
    <t>Additional Details</t>
  </si>
  <si>
    <t>CE</t>
  </si>
  <si>
    <t>PE</t>
  </si>
  <si>
    <t>Symbol</t>
  </si>
  <si>
    <t>NIFTY</t>
  </si>
  <si>
    <t>Expiry</t>
  </si>
  <si>
    <t>Updated at</t>
  </si>
  <si>
    <t>LTP (spot, future)</t>
  </si>
  <si>
    <t>Open (spot, future)</t>
  </si>
  <si>
    <t>High (spot, future)</t>
  </si>
  <si>
    <t>Low (spot, future)</t>
  </si>
  <si>
    <t>Close (spot, future)</t>
  </si>
  <si>
    <t>Future OI</t>
  </si>
  <si>
    <t>Max Pain at Strike</t>
  </si>
  <si>
    <t>Ltp at Max Pain</t>
  </si>
  <si>
    <t>ATM Strike</t>
  </si>
  <si>
    <t>LTP at ATM</t>
  </si>
  <si>
    <t>Total OI</t>
  </si>
  <si>
    <t>Total OI Change</t>
  </si>
  <si>
    <t>Max OI</t>
  </si>
  <si>
    <t>Max OI at Strike</t>
  </si>
  <si>
    <t>LTP of Max OI Strike</t>
  </si>
  <si>
    <t>Max Change in OI addition</t>
  </si>
  <si>
    <t>Max OI addition at Srike</t>
  </si>
  <si>
    <t>LTP of Max OI addition Strike</t>
  </si>
  <si>
    <t>Max Change in OI unwinding</t>
  </si>
  <si>
    <t>Max OI unwinding at Srike</t>
  </si>
  <si>
    <t>LTP of Max OI unwinding Strike</t>
  </si>
  <si>
    <t>Total Volume</t>
  </si>
  <si>
    <t>Max Vol at Strike</t>
  </si>
  <si>
    <t>LTP of Max volume Strike</t>
  </si>
  <si>
    <t>CE_Delta</t>
  </si>
  <si>
    <t>CE_Gamma</t>
  </si>
  <si>
    <t>CE_Theta</t>
  </si>
  <si>
    <t>CE_Vega</t>
  </si>
  <si>
    <t>CE_Rho</t>
  </si>
  <si>
    <t>CE_OI</t>
  </si>
  <si>
    <t>CE Change in OI</t>
  </si>
  <si>
    <t>CE Volume</t>
  </si>
  <si>
    <t>CE_IV</t>
  </si>
  <si>
    <t>CE LTP Change</t>
  </si>
  <si>
    <t>CE VWAP</t>
  </si>
  <si>
    <t>CE BUY QTY</t>
  </si>
  <si>
    <t>CE SELL QTY</t>
  </si>
  <si>
    <t>CE_OPEN</t>
  </si>
  <si>
    <t>CE_HIGH</t>
  </si>
  <si>
    <t>CE_LOW</t>
  </si>
  <si>
    <t>CE_CLOSE</t>
  </si>
  <si>
    <t>CE_BIDQTY</t>
  </si>
  <si>
    <t>CE_BIDPRICE</t>
  </si>
  <si>
    <t>CE_ASKPRICE</t>
  </si>
  <si>
    <t>CE_ASKQTY</t>
  </si>
  <si>
    <t>CE LTP</t>
  </si>
  <si>
    <t>Strike</t>
  </si>
  <si>
    <t>PE LTP</t>
  </si>
  <si>
    <t>PE_BIDQTY</t>
  </si>
  <si>
    <t>PE_BIDPRICE</t>
  </si>
  <si>
    <t>PE_ASKPRICE</t>
  </si>
  <si>
    <t>PE_ASKQTY</t>
  </si>
  <si>
    <t>PE_OPEN</t>
  </si>
  <si>
    <t>PE_HIGH</t>
  </si>
  <si>
    <t>PE_LOW</t>
  </si>
  <si>
    <t>PE_CLOSE</t>
  </si>
  <si>
    <t>PE BUY QTY</t>
  </si>
  <si>
    <t>PE SELL QTY</t>
  </si>
  <si>
    <t>PE VWAP</t>
  </si>
  <si>
    <t>PE LTP Change</t>
  </si>
  <si>
    <t>PE_IV</t>
  </si>
  <si>
    <t>PE Volume</t>
  </si>
  <si>
    <t>PE Change in OI</t>
  </si>
  <si>
    <t>PE_OI</t>
  </si>
  <si>
    <t>PE_Rho</t>
  </si>
  <si>
    <t>PE_Vega</t>
  </si>
  <si>
    <t>PE_Theta</t>
  </si>
  <si>
    <t>PE_Gamma</t>
  </si>
  <si>
    <t>PE_Delta</t>
  </si>
  <si>
    <t>BANKNIFTY</t>
  </si>
  <si>
    <t>StrikePrice</t>
  </si>
  <si>
    <t>CE_COI</t>
  </si>
  <si>
    <t>CE_VOL</t>
  </si>
  <si>
    <t>PE_COI</t>
  </si>
  <si>
    <t>PE_VOL</t>
  </si>
  <si>
    <t>TIME</t>
  </si>
  <si>
    <t>Row Labels</t>
  </si>
  <si>
    <t>Grand Total</t>
  </si>
  <si>
    <t>Sum of CE_OI</t>
  </si>
  <si>
    <t>Sum of PE_OI</t>
  </si>
  <si>
    <t>Sum of PE_COI</t>
  </si>
  <si>
    <t>Sum of CE_COI</t>
  </si>
  <si>
    <t>OI PCR</t>
  </si>
  <si>
    <t>VOL PCR</t>
  </si>
  <si>
    <t>:16</t>
  </si>
  <si>
    <t>:19</t>
  </si>
  <si>
    <t>:22</t>
  </si>
  <si>
    <t>:25</t>
  </si>
  <si>
    <t>:28</t>
  </si>
  <si>
    <t>:31</t>
  </si>
  <si>
    <t>:34</t>
  </si>
  <si>
    <t>:37</t>
  </si>
  <si>
    <t>:40</t>
  </si>
  <si>
    <t>:45</t>
  </si>
  <si>
    <t>:50</t>
  </si>
  <si>
    <t>:53</t>
  </si>
  <si>
    <t>:56</t>
  </si>
  <si>
    <t>:57</t>
  </si>
  <si>
    <t>:59</t>
  </si>
  <si>
    <t>10 AM</t>
  </si>
  <si>
    <t>:02</t>
  </si>
  <si>
    <t>:03</t>
  </si>
  <si>
    <t>:05</t>
  </si>
  <si>
    <t>:08</t>
  </si>
  <si>
    <t>:11</t>
  </si>
  <si>
    <t>:14</t>
  </si>
  <si>
    <t>:17</t>
  </si>
  <si>
    <t>:20</t>
  </si>
  <si>
    <t>:23</t>
  </si>
  <si>
    <t>:27</t>
  </si>
  <si>
    <t>:30</t>
  </si>
  <si>
    <t>:33</t>
  </si>
  <si>
    <t>:36</t>
  </si>
  <si>
    <t>:39</t>
  </si>
  <si>
    <t>:42</t>
  </si>
  <si>
    <t>:48</t>
  </si>
  <si>
    <t>:51</t>
  </si>
  <si>
    <t>:54</t>
  </si>
  <si>
    <t>11 AM</t>
  </si>
  <si>
    <t>:04</t>
  </si>
  <si>
    <t>:07</t>
  </si>
  <si>
    <t>:10</t>
  </si>
  <si>
    <t>:13</t>
  </si>
  <si>
    <t>:43</t>
  </si>
  <si>
    <t>:47</t>
  </si>
  <si>
    <t>Column Labels</t>
  </si>
  <si>
    <t>Total Sum of PE_OI</t>
  </si>
  <si>
    <t>Total Sum of CE_OI</t>
  </si>
  <si>
    <t>12 PM</t>
  </si>
  <si>
    <t>:00</t>
  </si>
  <si>
    <t>:44</t>
  </si>
  <si>
    <t>:55</t>
  </si>
  <si>
    <t>01 PM</t>
  </si>
  <si>
    <t>BANKEX</t>
  </si>
  <si>
    <t>SENSEX</t>
  </si>
  <si>
    <t>FINNIFTY</t>
  </si>
  <si>
    <t>13-05-2024 20:58:10</t>
  </si>
  <si>
    <t>13-05-2024 20:58:12</t>
  </si>
  <si>
    <t>13-05-2024 20:58:13</t>
  </si>
  <si>
    <t>13-05-2024 20:58:14</t>
  </si>
  <si>
    <t>13-05-2024 20:58:16</t>
  </si>
  <si>
    <t>Spot</t>
  </si>
  <si>
    <t>Vix</t>
  </si>
  <si>
    <t>PCR</t>
  </si>
  <si>
    <t>ask_CE</t>
  </si>
  <si>
    <t>bid_CE</t>
  </si>
  <si>
    <t>ltp_CE</t>
  </si>
  <si>
    <t>ltpch_CE</t>
  </si>
  <si>
    <t>ltpchp_CE</t>
  </si>
  <si>
    <t>option_type_CE</t>
  </si>
  <si>
    <t>symbol_CE</t>
  </si>
  <si>
    <t>oi_CE</t>
  </si>
  <si>
    <t>oich_CE</t>
  </si>
  <si>
    <t>oichp_CE</t>
  </si>
  <si>
    <t>prev_oi_CE</t>
  </si>
  <si>
    <t>volume_CE</t>
  </si>
  <si>
    <t>ask_PE</t>
  </si>
  <si>
    <t>bid_PE</t>
  </si>
  <si>
    <t>ltp_PE</t>
  </si>
  <si>
    <t>ltpch_PE</t>
  </si>
  <si>
    <t>ltpchp_PE</t>
  </si>
  <si>
    <t>option_type_PE</t>
  </si>
  <si>
    <t>symbol_PE</t>
  </si>
  <si>
    <t>oi_PE</t>
  </si>
  <si>
    <t>oich_PE</t>
  </si>
  <si>
    <t>oichp_PE</t>
  </si>
  <si>
    <t>prev_oi_PE</t>
  </si>
  <si>
    <t>volume_PE</t>
  </si>
  <si>
    <t>NSE:NIFTY24JUN23050CE</t>
  </si>
  <si>
    <t>NSE:NIFTY24JUN23050PE</t>
  </si>
  <si>
    <t>NSE:NIFTY24JUN23100PE</t>
  </si>
  <si>
    <t>NSE:NIFTY24JUN23100CE</t>
  </si>
  <si>
    <t>NSE:NIFTY24JUN23150CE</t>
  </si>
  <si>
    <t>NSE:NIFTY24JUN23150PE</t>
  </si>
  <si>
    <t>NSE:NIFTY24JUN23200PE</t>
  </si>
  <si>
    <t>NSE:NIFTY24JUN23200CE</t>
  </si>
  <si>
    <t>NSE:NIFTY24JUN23250PE</t>
  </si>
  <si>
    <t>NSE:NIFTY24JUN23250CE</t>
  </si>
  <si>
    <t>NSE:NIFTY24JUN23300PE</t>
  </si>
  <si>
    <t>NSE:NIFTY24JUN23300CE</t>
  </si>
  <si>
    <t>NSE:NIFTY24JUN23350CE</t>
  </si>
  <si>
    <t>NSE:NIFTY24JUN23350PE</t>
  </si>
  <si>
    <t>NSE:NIFTY24JUN23400PE</t>
  </si>
  <si>
    <t>NSE:NIFTY24JUN23400CE</t>
  </si>
  <si>
    <t>NSE:NIFTY24JUN23450PE</t>
  </si>
  <si>
    <t>NSE:NIFTY24JUN23450CE</t>
  </si>
  <si>
    <t>NSE:NIFTY24JUN23500PE</t>
  </si>
  <si>
    <t>NSE:NIFTY24JUN23500CE</t>
  </si>
  <si>
    <t>NSE:NIFTY24JUN23550PE</t>
  </si>
  <si>
    <t>NSE:NIFTY24JUN23550CE</t>
  </si>
  <si>
    <t>NSE:NIFTY24JUN23600CE</t>
  </si>
  <si>
    <t>NSE:NIFTY24JUN23600PE</t>
  </si>
  <si>
    <t>NSE:NIFTY24JUN23650CE</t>
  </si>
  <si>
    <t>NSE:NIFTY24JUN23650PE</t>
  </si>
  <si>
    <t>NSE:NIFTY24JUN23700PE</t>
  </si>
  <si>
    <t>NSE:NIFTY24JUN23700CE</t>
  </si>
  <si>
    <t>NSE:NIFTY24JUN23750PE</t>
  </si>
  <si>
    <t>NSE:NIFTY24JUN23750CE</t>
  </si>
  <si>
    <t>NSE:NIFTY24JUN23800PE</t>
  </si>
  <si>
    <t>NSE:NIFTY24JUN23800CE</t>
  </si>
  <si>
    <t>NSE:NIFTY24JUN23850PE</t>
  </si>
  <si>
    <t>NSE:NIFTY24JUN23850CE</t>
  </si>
  <si>
    <t>NSE:NIFTY24JUN23900CE</t>
  </si>
  <si>
    <t>NSE:NIFTY24JUN23900PE</t>
  </si>
  <si>
    <t>NSE:NIFTY24JUN23950CE</t>
  </si>
  <si>
    <t>NSE:NIFTY24JUN23950PE</t>
  </si>
  <si>
    <t>NSE:NIFTY24JUN24000PE</t>
  </si>
  <si>
    <t>NSE:NIFTY24JUN24000CE</t>
  </si>
  <si>
    <t>NSE:NIFTY24JUN24050PE</t>
  </si>
  <si>
    <t>NSE:NIFTY24JUN24050CE</t>
  </si>
  <si>
    <t>NSE:BANKNIFTY24JUN52400CE</t>
  </si>
  <si>
    <t>NSE:BANKNIFTY24JUN52400PE</t>
  </si>
  <si>
    <t>NSE:BANKNIFTY24JUN52500CE</t>
  </si>
  <si>
    <t>NSE:BANKNIFTY24JUN52500PE</t>
  </si>
  <si>
    <t>NSE:BANKNIFTY24JUN52600CE</t>
  </si>
  <si>
    <t>NSE:BANKNIFTY24JUN52600PE</t>
  </si>
  <si>
    <t>NSE:BANKNIFTY24JUN52700CE</t>
  </si>
  <si>
    <t>NSE:BANKNIFTY24JUN52700PE</t>
  </si>
  <si>
    <t>NSE:BANKNIFTY24JUN52800CE</t>
  </si>
  <si>
    <t>NSE:BANKNIFTY24JUN52800PE</t>
  </si>
  <si>
    <t>BSE:BANKEX2470159600CE</t>
  </si>
  <si>
    <t>BSE:BANKEX2470159600PE</t>
  </si>
  <si>
    <t>BSE:BANKEX2470159700CE</t>
  </si>
  <si>
    <t>BSE:BANKEX2470159700PE</t>
  </si>
  <si>
    <t>BSE:BANKEX2470159800CE</t>
  </si>
  <si>
    <t>BSE:BANKEX2470159800PE</t>
  </si>
  <si>
    <t>BSE:BANKEX2470159900CE</t>
  </si>
  <si>
    <t>BSE:BANKEX2470159900PE</t>
  </si>
  <si>
    <t>BSE:BANKEX2470160000CE</t>
  </si>
  <si>
    <t>BSE:BANKEX2470160000PE</t>
  </si>
  <si>
    <t>BSE:SENSEX24JUN77800CE</t>
  </si>
  <si>
    <t>BSE:SENSEX24JUN77800PE</t>
  </si>
  <si>
    <t>BSE:SENSEX24JUN77900CE</t>
  </si>
  <si>
    <t>BSE:SENSEX24JUN77900PE</t>
  </si>
  <si>
    <t>BSE:SENSEX24JUN78000CE</t>
  </si>
  <si>
    <t>BSE:SENSEX24JUN78000PE</t>
  </si>
  <si>
    <t>BSE:SENSEX24JUN78100CE</t>
  </si>
  <si>
    <t>BSE:SENSEX24JUN78100PE</t>
  </si>
  <si>
    <t>BSE:SENSEX24JUN78200CE</t>
  </si>
  <si>
    <t>BSE:SENSEX24JUN78200PE</t>
  </si>
  <si>
    <t>BSE:SENSEX24JUN78300CE</t>
  </si>
  <si>
    <t>BSE:SENSEX24JUN78300PE</t>
  </si>
  <si>
    <t>BSE:SENSEX24JUN78400CE</t>
  </si>
  <si>
    <t>BSE:SENSEX24JUN78400PE</t>
  </si>
  <si>
    <t>NSE:FINNIFTY2470223400CE</t>
  </si>
  <si>
    <t>NSE:FINNIFTY2470223400PE</t>
  </si>
  <si>
    <t>NSE:FINNIFTY2470223450CE</t>
  </si>
  <si>
    <t>NSE:FINNIFTY2470223450PE</t>
  </si>
  <si>
    <t>NSE:FINNIFTY2470223500CE</t>
  </si>
  <si>
    <t>NSE:FINNIFTY2470223500PE</t>
  </si>
  <si>
    <t>NSE:FINNIFTY2470223550CE</t>
  </si>
  <si>
    <t>NSE:FINNIFTY2470223550PE</t>
  </si>
  <si>
    <t>NSE:FINNIFTY2470223600CE</t>
  </si>
  <si>
    <t>NSE:FINNIFTY2470223600PE</t>
  </si>
  <si>
    <t>NSE:BANKNIFTY24JUN52900CE</t>
  </si>
  <si>
    <t>NSE:BANKNIFTY24JUN52900PE</t>
  </si>
  <si>
    <t>NSE:NIFTY24JUN22850CE</t>
  </si>
  <si>
    <t>NSE:NIFTY24JUN22850PE</t>
  </si>
  <si>
    <t>NSE:NIFTY24JUN22900CE</t>
  </si>
  <si>
    <t>NSE:NIFTY24JUN22900PE</t>
  </si>
  <si>
    <t>NSE:NIFTY24JUN22950CE</t>
  </si>
  <si>
    <t>NSE:NIFTY24JUN22950PE</t>
  </si>
  <si>
    <t>NSE:NIFTY24JUN23000CE</t>
  </si>
  <si>
    <t>NSE:NIFTY24JUN23000PE</t>
  </si>
  <si>
    <t>NSE:NIFTY24JUN24100CE</t>
  </si>
  <si>
    <t>NSE:NIFTY24JUN24100PE</t>
  </si>
  <si>
    <t>NSE:NIFTY24JUN24150CE</t>
  </si>
  <si>
    <t>NSE:NIFTY24JUN24150PE</t>
  </si>
  <si>
    <t>NSE:NIFTY24JUN24200CE</t>
  </si>
  <si>
    <t>NSE:NIFTY24JUN24200PE</t>
  </si>
  <si>
    <t>NSE:NIFTY24JUN24250CE</t>
  </si>
  <si>
    <t>NSE:NIFTY24JUN24250PE</t>
  </si>
  <si>
    <t>NSE:NIFTY24JUN24300CE</t>
  </si>
  <si>
    <t>NSE:NIFTY24JUN24300PE</t>
  </si>
  <si>
    <t>NSE:NIFTY24JUN24350CE</t>
  </si>
  <si>
    <t>NSE:NIFTY24JUN24350PE</t>
  </si>
  <si>
    <t>NSE:NIFTY24JUN24400CE</t>
  </si>
  <si>
    <t>NSE:NIFTY24JUN24400PE</t>
  </si>
  <si>
    <t>NSE:NIFTY24JUN24450CE</t>
  </si>
  <si>
    <t>NSE:NIFTY24JUN24450PE</t>
  </si>
  <si>
    <t>NSE:NIFTY24JUN24500CE</t>
  </si>
  <si>
    <t>NSE:NIFTY24JUN24500PE</t>
  </si>
  <si>
    <t>NSE:NIFTY24JUN24550CE</t>
  </si>
  <si>
    <t>NSE:NIFTY24JUN24550PE</t>
  </si>
  <si>
    <t>NSE:NIFTY24JUN24600CE</t>
  </si>
  <si>
    <t>NSE:NIFTY24JUN24600PE</t>
  </si>
  <si>
    <t>NSE:NIFTY24JUN24650CE</t>
  </si>
  <si>
    <t>NSE:NIFTY24JUN24650PE</t>
  </si>
  <si>
    <t>NSE:NIFTY24JUN24700CE</t>
  </si>
  <si>
    <t>NSE:NIFTY24JUN24700PE</t>
  </si>
  <si>
    <t>NSE:NIFTY24JUN24750CE</t>
  </si>
  <si>
    <t>NSE:NIFTY24JUN24750PE</t>
  </si>
  <si>
    <t>NSE:BANKNIFTY24JUN50900CE</t>
  </si>
  <si>
    <t>NSE:BANKNIFTY24JUN50900PE</t>
  </si>
  <si>
    <t>NSE:BANKNIFTY24JUN51000CE</t>
  </si>
  <si>
    <t>NSE:BANKNIFTY24JUN51000PE</t>
  </si>
  <si>
    <t>NSE:BANKNIFTY24JUN51100CE</t>
  </si>
  <si>
    <t>NSE:BANKNIFTY24JUN51100PE</t>
  </si>
  <si>
    <t>NSE:BANKNIFTY24JUN51200CE</t>
  </si>
  <si>
    <t>NSE:BANKNIFTY24JUN51200PE</t>
  </si>
  <si>
    <t>NSE:BANKNIFTY24JUN51300CE</t>
  </si>
  <si>
    <t>NSE:BANKNIFTY24JUN51300PE</t>
  </si>
  <si>
    <t>NSE:BANKNIFTY24JUN51400CE</t>
  </si>
  <si>
    <t>NSE:BANKNIFTY24JUN51400PE</t>
  </si>
  <si>
    <t>NSE:BANKNIFTY24JUN51500CE</t>
  </si>
  <si>
    <t>NSE:BANKNIFTY24JUN51500PE</t>
  </si>
  <si>
    <t>NSE:BANKNIFTY24JUN51600CE</t>
  </si>
  <si>
    <t>NSE:BANKNIFTY24JUN51600PE</t>
  </si>
  <si>
    <t>NSE:BANKNIFTY24JUN51700CE</t>
  </si>
  <si>
    <t>NSE:BANKNIFTY24JUN51700PE</t>
  </si>
  <si>
    <t>NSE:BANKNIFTY24JUN51800CE</t>
  </si>
  <si>
    <t>NSE:BANKNIFTY24JUN51800PE</t>
  </si>
  <si>
    <t>NSE:BANKNIFTY24JUN51900CE</t>
  </si>
  <si>
    <t>NSE:BANKNIFTY24JUN51900PE</t>
  </si>
  <si>
    <t>NSE:BANKNIFTY24JUN52000CE</t>
  </si>
  <si>
    <t>NSE:BANKNIFTY24JUN52000PE</t>
  </si>
  <si>
    <t>NSE:BANKNIFTY24JUN52100CE</t>
  </si>
  <si>
    <t>NSE:BANKNIFTY24JUN52100PE</t>
  </si>
  <si>
    <t>NSE:BANKNIFTY24JUN52200CE</t>
  </si>
  <si>
    <t>NSE:BANKNIFTY24JUN52200PE</t>
  </si>
  <si>
    <t>NSE:BANKNIFTY24JUN52300CE</t>
  </si>
  <si>
    <t>NSE:BANKNIFTY24JUN52300PE</t>
  </si>
  <si>
    <t>NSE:BANKNIFTY24JUN53000CE</t>
  </si>
  <si>
    <t>NSE:BANKNIFTY24JUN53000PE</t>
  </si>
  <si>
    <t>NSE:BANKNIFTY24JUN53100CE</t>
  </si>
  <si>
    <t>NSE:BANKNIFTY24JUN53100PE</t>
  </si>
  <si>
    <t>NSE:BANKNIFTY24JUN53200CE</t>
  </si>
  <si>
    <t>NSE:BANKNIFTY24JUN53200PE</t>
  </si>
  <si>
    <t>NSE:BANKNIFTY24JUN53300CE</t>
  </si>
  <si>
    <t>NSE:BANKNIFTY24JUN53300PE</t>
  </si>
  <si>
    <t>NSE:BANKNIFTY24JUN53400CE</t>
  </si>
  <si>
    <t>NSE:BANKNIFTY24JUN53400PE</t>
  </si>
  <si>
    <t>NSE:BANKNIFTY24JUN53500CE</t>
  </si>
  <si>
    <t>NSE:BANKNIFTY24JUN53500PE</t>
  </si>
  <si>
    <t>NSE:BANKNIFTY24JUN53600CE</t>
  </si>
  <si>
    <t>NSE:BANKNIFTY24JUN53600PE</t>
  </si>
  <si>
    <t>NSE:BANKNIFTY24JUN53700CE</t>
  </si>
  <si>
    <t>NSE:BANKNIFTY24JUN53700PE</t>
  </si>
  <si>
    <t>NSE:BANKNIFTY24JUN53800CE</t>
  </si>
  <si>
    <t>NSE:BANKNIFTY24JUN53800PE</t>
  </si>
  <si>
    <t>NSE:BANKNIFTY24JUN53900CE</t>
  </si>
  <si>
    <t>NSE:BANKNIFTY24JUN53900PE</t>
  </si>
  <si>
    <t>NSE:BANKNIFTY24JUN54000CE</t>
  </si>
  <si>
    <t>NSE:BANKNIFTY24JUN54000PE</t>
  </si>
  <si>
    <t>NSE:BANKNIFTY24JUN54100CE</t>
  </si>
  <si>
    <t>NSE:BANKNIFTY24JUN54100PE</t>
  </si>
  <si>
    <t>NSE:BANKNIFTY24JUN54200CE</t>
  </si>
  <si>
    <t>NSE:BANKNIFTY24JUN54200PE</t>
  </si>
  <si>
    <t>NSE:BANKNIFTY24JUN54300CE</t>
  </si>
  <si>
    <t>NSE:BANKNIFTY24JUN54300PE</t>
  </si>
  <si>
    <t>NSE:BANKNIFTY24JUN54400CE</t>
  </si>
  <si>
    <t>NSE:BANKNIFTY24JUN54400PE</t>
  </si>
  <si>
    <t>NSE:BANKNIFTY24JUN54500CE</t>
  </si>
  <si>
    <t>NSE:BANKNIFTY24JUN54500PE</t>
  </si>
  <si>
    <t>NSE:BANKNIFTY24JUN54600CE</t>
  </si>
  <si>
    <t>NSE:BANKNIFTY24JUN54600PE</t>
  </si>
  <si>
    <t>NSE:BANKNIFTY24JUN54700CE</t>
  </si>
  <si>
    <t>NSE:BANKNIFTY24JUN54700PE</t>
  </si>
  <si>
    <t>BSE:BANKEX2470158200CE</t>
  </si>
  <si>
    <t>BSE:BANKEX2470158200PE</t>
  </si>
  <si>
    <t>BSE:BANKEX2470158300CE</t>
  </si>
  <si>
    <t>BSE:BANKEX2470158300PE</t>
  </si>
  <si>
    <t>BSE:BANKEX2470158400CE</t>
  </si>
  <si>
    <t>BSE:BANKEX2470158400PE</t>
  </si>
  <si>
    <t>BSE:BANKEX2470158500CE</t>
  </si>
  <si>
    <t>BSE:BANKEX2470158500PE</t>
  </si>
  <si>
    <t>BSE:BANKEX2470158600CE</t>
  </si>
  <si>
    <t>BSE:BANKEX2470158600PE</t>
  </si>
  <si>
    <t>BSE:BANKEX2470158700CE</t>
  </si>
  <si>
    <t>BSE:BANKEX2470158700PE</t>
  </si>
  <si>
    <t>BSE:BANKEX2470158800CE</t>
  </si>
  <si>
    <t>BSE:BANKEX2470158800PE</t>
  </si>
  <si>
    <t>BSE:BANKEX2470158900CE</t>
  </si>
  <si>
    <t>BSE:BANKEX2470158900PE</t>
  </si>
  <si>
    <t>BSE:BANKEX2470159000CE</t>
  </si>
  <si>
    <t>BSE:BANKEX2470159000PE</t>
  </si>
  <si>
    <t>BSE:BANKEX2470159100CE</t>
  </si>
  <si>
    <t>BSE:BANKEX2470159100PE</t>
  </si>
  <si>
    <t>BSE:BANKEX2470159200CE</t>
  </si>
  <si>
    <t>BSE:BANKEX2470159200PE</t>
  </si>
  <si>
    <t>BSE:BANKEX2470159300CE</t>
  </si>
  <si>
    <t>BSE:BANKEX2470159300PE</t>
  </si>
  <si>
    <t>BSE:BANKEX2470159400CE</t>
  </si>
  <si>
    <t>BSE:BANKEX2470159400PE</t>
  </si>
  <si>
    <t>BSE:BANKEX2470159500CE</t>
  </si>
  <si>
    <t>BSE:BANKEX2470159500PE</t>
  </si>
  <si>
    <t>BSE:BANKEX2470160100CE</t>
  </si>
  <si>
    <t>BSE:BANKEX2470160100PE</t>
  </si>
  <si>
    <t>BSE:BANKEX2470160200CE</t>
  </si>
  <si>
    <t>BSE:BANKEX2470160200PE</t>
  </si>
  <si>
    <t>BSE:BANKEX2470160300CE</t>
  </si>
  <si>
    <t>BSE:BANKEX2470160300PE</t>
  </si>
  <si>
    <t>BSE:BANKEX2470160400CE</t>
  </si>
  <si>
    <t>BSE:BANKEX2470160400PE</t>
  </si>
  <si>
    <t>BSE:BANKEX2470160500CE</t>
  </si>
  <si>
    <t>BSE:BANKEX2470160500PE</t>
  </si>
  <si>
    <t>BSE:BANKEX2470160600CE</t>
  </si>
  <si>
    <t>BSE:BANKEX2470160600PE</t>
  </si>
  <si>
    <t>BSE:BANKEX2470160700CE</t>
  </si>
  <si>
    <t>BSE:BANKEX2470160700PE</t>
  </si>
  <si>
    <t>BSE:BANKEX2470160800CE</t>
  </si>
  <si>
    <t>BSE:BANKEX2470160800PE</t>
  </si>
  <si>
    <t>BSE:BANKEX2470160900CE</t>
  </si>
  <si>
    <t>BSE:BANKEX2470160900PE</t>
  </si>
  <si>
    <t>BSE:BANKEX2470161000CE</t>
  </si>
  <si>
    <t>BSE:BANKEX2470161000PE</t>
  </si>
  <si>
    <t>BSE:BANKEX2470161100CE</t>
  </si>
  <si>
    <t>BSE:BANKEX2470161100PE</t>
  </si>
  <si>
    <t>BSE:BANKEX2470161200CE</t>
  </si>
  <si>
    <t>BSE:BANKEX2470161200PE</t>
  </si>
  <si>
    <t>BSE:BANKEX2470161300CE</t>
  </si>
  <si>
    <t>BSE:BANKEX2470161300PE</t>
  </si>
  <si>
    <t>BSE:BANKEX2470161400CE</t>
  </si>
  <si>
    <t>BSE:BANKEX2470161400PE</t>
  </si>
  <si>
    <t>BSE:BANKEX2470161500CE</t>
  </si>
  <si>
    <t>BSE:BANKEX2470161500PE</t>
  </si>
  <si>
    <t>BSE:BANKEX2470161600CE</t>
  </si>
  <si>
    <t>BSE:BANKEX2470161600PE</t>
  </si>
  <si>
    <t>BSE:BANKEX2470161700CE</t>
  </si>
  <si>
    <t>BSE:BANKEX2470161700PE</t>
  </si>
  <si>
    <t>BSE:BANKEX2470161800CE</t>
  </si>
  <si>
    <t>BSE:BANKEX2470161800PE</t>
  </si>
  <si>
    <t>BSE:SENSEX24JUN76600CE</t>
  </si>
  <si>
    <t>BSE:SENSEX24JUN76600PE</t>
  </si>
  <si>
    <t>BSE:SENSEX24JUN76700CE</t>
  </si>
  <si>
    <t>BSE:SENSEX24JUN76700PE</t>
  </si>
  <si>
    <t>BSE:SENSEX24JUN76800CE</t>
  </si>
  <si>
    <t>BSE:SENSEX24JUN76800PE</t>
  </si>
  <si>
    <t>BSE:SENSEX24JUN76900CE</t>
  </si>
  <si>
    <t>BSE:SENSEX24JUN76900PE</t>
  </si>
  <si>
    <t>BSE:SENSEX24JUN77000CE</t>
  </si>
  <si>
    <t>BSE:SENSEX24JUN77000PE</t>
  </si>
  <si>
    <t>BSE:SENSEX24JUN77100CE</t>
  </si>
  <si>
    <t>BSE:SENSEX24JUN77100PE</t>
  </si>
  <si>
    <t>BSE:SENSEX24JUN77200CE</t>
  </si>
  <si>
    <t>BSE:SENSEX24JUN77200PE</t>
  </si>
  <si>
    <t>BSE:SENSEX24JUN77300CE</t>
  </si>
  <si>
    <t>BSE:SENSEX24JUN77300PE</t>
  </si>
  <si>
    <t>BSE:SENSEX24JUN77400CE</t>
  </si>
  <si>
    <t>BSE:SENSEX24JUN77400PE</t>
  </si>
  <si>
    <t>BSE:SENSEX24JUN77500CE</t>
  </si>
  <si>
    <t>BSE:SENSEX24JUN77500PE</t>
  </si>
  <si>
    <t>BSE:SENSEX24JUN77600CE</t>
  </si>
  <si>
    <t>BSE:SENSEX24JUN77600PE</t>
  </si>
  <si>
    <t>BSE:SENSEX24JUN77700CE</t>
  </si>
  <si>
    <t>BSE:SENSEX24JUN77700PE</t>
  </si>
  <si>
    <t>BSE:SENSEX24JUN78500CE</t>
  </si>
  <si>
    <t>BSE:SENSEX24JUN78500PE</t>
  </si>
  <si>
    <t>BSE:SENSEX24JUN78600CE</t>
  </si>
  <si>
    <t>BSE:SENSEX24JUN78600PE</t>
  </si>
  <si>
    <t>BSE:SENSEX24JUN78700CE</t>
  </si>
  <si>
    <t>BSE:SENSEX24JUN78700PE</t>
  </si>
  <si>
    <t>BSE:SENSEX24JUN78800CE</t>
  </si>
  <si>
    <t>BSE:SENSEX24JUN78800PE</t>
  </si>
  <si>
    <t>BSE:SENSEX24JUN78900CE</t>
  </si>
  <si>
    <t>BSE:SENSEX24JUN78900PE</t>
  </si>
  <si>
    <t>BSE:SENSEX24JUN79000CE</t>
  </si>
  <si>
    <t>BSE:SENSEX24JUN79000PE</t>
  </si>
  <si>
    <t>BSE:SENSEX24JUN79100CE</t>
  </si>
  <si>
    <t>BSE:SENSEX24JUN79100PE</t>
  </si>
  <si>
    <t>BSE:SENSEX24JUN79200CE</t>
  </si>
  <si>
    <t>BSE:SENSEX24JUN79200PE</t>
  </si>
  <si>
    <t>BSE:SENSEX24JUN79300CE</t>
  </si>
  <si>
    <t>BSE:SENSEX24JUN79300PE</t>
  </si>
  <si>
    <t>BSE:SENSEX24JUN79400CE</t>
  </si>
  <si>
    <t>BSE:SENSEX24JUN79400PE</t>
  </si>
  <si>
    <t>BSE:SENSEX24JUN79500CE</t>
  </si>
  <si>
    <t>BSE:SENSEX24JUN79500PE</t>
  </si>
  <si>
    <t>BSE:SENSEX24JUN79600CE</t>
  </si>
  <si>
    <t>BSE:SENSEX24JUN79600PE</t>
  </si>
  <si>
    <t>BSE:SENSEX24JUN79700CE</t>
  </si>
  <si>
    <t>BSE:SENSEX24JUN79700PE</t>
  </si>
  <si>
    <t>BSE:SENSEX24JUN79800CE</t>
  </si>
  <si>
    <t>BSE:SENSEX24JUN79800PE</t>
  </si>
  <si>
    <t>BSE:SENSEX24JUN79900CE</t>
  </si>
  <si>
    <t>BSE:SENSEX24JUN79900PE</t>
  </si>
  <si>
    <t>BSE:SENSEX24JUN80000CE</t>
  </si>
  <si>
    <t>BSE:SENSEX24JUN80000PE</t>
  </si>
  <si>
    <t>BSE:SENSEX24JUN80100CE</t>
  </si>
  <si>
    <t>BSE:SENSEX24JUN80100PE</t>
  </si>
  <si>
    <t>BSE:SENSEX24JUN80200CE</t>
  </si>
  <si>
    <t>BSE:SENSEX24JUN80200PE</t>
  </si>
  <si>
    <t>NSE:NIFTY24JUN24800CE</t>
  </si>
  <si>
    <t>NSE:NIFTY24JUN24800PE</t>
  </si>
  <si>
    <t>NSE:BANKNIFTY24JUN54800CE</t>
  </si>
  <si>
    <t>NSE:BANKNIFTY24JUN54800PE</t>
  </si>
  <si>
    <t>NSE:BANKNIFTY24JUN54900CE</t>
  </si>
  <si>
    <t>NSE:BANKNIFTY24JUN54900PE</t>
  </si>
  <si>
    <t>BSE:BANKEX2470161900CE</t>
  </si>
  <si>
    <t>BSE:BANKEX2470161900PE</t>
  </si>
  <si>
    <t>BSE:BANKEX2470162000CE</t>
  </si>
  <si>
    <t>BSE:BANKEX2470162000PE</t>
  </si>
  <si>
    <t>BSE:BANKEX2470162100CE</t>
  </si>
  <si>
    <t>BSE:BANKEX2470162100PE</t>
  </si>
  <si>
    <t>BSE:SENSEX24JUN80300CE</t>
  </si>
  <si>
    <t>BSE:SENSEX24JUN80300PE</t>
  </si>
  <si>
    <t>BSE:SENSEX24JUN80400CE</t>
  </si>
  <si>
    <t>BSE:SENSEX24JUN80400PE</t>
  </si>
  <si>
    <t>NSE:FINNIFTY2470222600CE</t>
  </si>
  <si>
    <t>NSE:FINNIFTY2470222600PE</t>
  </si>
  <si>
    <t>NSE:FINNIFTY2470222650CE</t>
  </si>
  <si>
    <t>NSE:FINNIFTY2470222650PE</t>
  </si>
  <si>
    <t>NSE:FINNIFTY2470222700CE</t>
  </si>
  <si>
    <t>NSE:FINNIFTY2470222700PE</t>
  </si>
  <si>
    <t>NSE:FINNIFTY2470222750CE</t>
  </si>
  <si>
    <t>NSE:FINNIFTY2470222750PE</t>
  </si>
  <si>
    <t>NSE:FINNIFTY2470222800CE</t>
  </si>
  <si>
    <t>NSE:FINNIFTY2470222800PE</t>
  </si>
  <si>
    <t>NSE:FINNIFTY2470222850CE</t>
  </si>
  <si>
    <t>NSE:FINNIFTY2470222850PE</t>
  </si>
  <si>
    <t>NSE:FINNIFTY2470222900CE</t>
  </si>
  <si>
    <t>NSE:FINNIFTY2470222900PE</t>
  </si>
  <si>
    <t>NSE:FINNIFTY2470222950CE</t>
  </si>
  <si>
    <t>NSE:FINNIFTY2470222950PE</t>
  </si>
  <si>
    <t>NSE:FINNIFTY2470223000CE</t>
  </si>
  <si>
    <t>NSE:FINNIFTY2470223000PE</t>
  </si>
  <si>
    <t>NSE:FINNIFTY2470223050CE</t>
  </si>
  <si>
    <t>NSE:FINNIFTY2470223050PE</t>
  </si>
  <si>
    <t>NSE:FINNIFTY2470223100CE</t>
  </si>
  <si>
    <t>NSE:FINNIFTY2470223100PE</t>
  </si>
  <si>
    <t>NSE:FINNIFTY2470223150CE</t>
  </si>
  <si>
    <t>NSE:FINNIFTY2470223150PE</t>
  </si>
  <si>
    <t>NSE:FINNIFTY2470223200CE</t>
  </si>
  <si>
    <t>NSE:FINNIFTY2470223200PE</t>
  </si>
  <si>
    <t>NSE:FINNIFTY2470223250CE</t>
  </si>
  <si>
    <t>NSE:FINNIFTY2470223250PE</t>
  </si>
  <si>
    <t>NSE:FINNIFTY2470223300CE</t>
  </si>
  <si>
    <t>NSE:FINNIFTY2470223300PE</t>
  </si>
  <si>
    <t>NSE:FINNIFTY2470223350CE</t>
  </si>
  <si>
    <t>NSE:FINNIFTY2470223350PE</t>
  </si>
  <si>
    <t>NSE:FINNIFTY2470223650CE</t>
  </si>
  <si>
    <t>NSE:FINNIFTY2470223650PE</t>
  </si>
  <si>
    <t>NSE:FINNIFTY2470223700CE</t>
  </si>
  <si>
    <t>NSE:FINNIFTY2470223700PE</t>
  </si>
  <si>
    <t>NSE:FINNIFTY2470223750CE</t>
  </si>
  <si>
    <t>NSE:FINNIFTY2470223750PE</t>
  </si>
  <si>
    <t>NSE:FINNIFTY2470223800CE</t>
  </si>
  <si>
    <t>NSE:FINNIFTY2470223800PE</t>
  </si>
  <si>
    <t>NSE:FINNIFTY2470223850CE</t>
  </si>
  <si>
    <t>NSE:FINNIFTY2470223850PE</t>
  </si>
  <si>
    <t>NSE:FINNIFTY2470223900CE</t>
  </si>
  <si>
    <t>NSE:FINNIFTY2470223900PE</t>
  </si>
  <si>
    <t>NSE:FINNIFTY2470223950CE</t>
  </si>
  <si>
    <t>NSE:FINNIFTY2470223950PE</t>
  </si>
  <si>
    <t>NSE:FINNIFTY2470224000CE</t>
  </si>
  <si>
    <t>NSE:FINNIFTY2470224000PE</t>
  </si>
  <si>
    <t>NSE:FINNIFTY2470224050CE</t>
  </si>
  <si>
    <t>NSE:FINNIFTY2470224050PE</t>
  </si>
  <si>
    <t>NSE:FINNIFTY2470224100CE</t>
  </si>
  <si>
    <t>NSE:FINNIFTY2470224100PE</t>
  </si>
  <si>
    <t>NSE:FINNIFTY2470224150CE</t>
  </si>
  <si>
    <t>NSE:FINNIFTY2470224150PE</t>
  </si>
  <si>
    <t>NSE:FINNIFTY2470224200CE</t>
  </si>
  <si>
    <t>NSE:FINNIFTY2470224200PE</t>
  </si>
  <si>
    <t>NSE:FINNIFTY2470224250CE</t>
  </si>
  <si>
    <t>NSE:FINNIFTY2470224250PE</t>
  </si>
  <si>
    <t>NSE:FINNIFTY2470224300CE</t>
  </si>
  <si>
    <t>NSE:FINNIFTY2470224300PE</t>
  </si>
  <si>
    <t>NSE:FINNIFTY2470224350CE</t>
  </si>
  <si>
    <t>NSE:FINNIFTY2470224350PE</t>
  </si>
  <si>
    <t>NSE:FINNIFTY2470224400CE</t>
  </si>
  <si>
    <t>NSE:FINNIFTY2470224400PE</t>
  </si>
  <si>
    <t>NSE:FINNIFTY2470224450CE</t>
  </si>
  <si>
    <t>NSE:FINNIFTY2470224450PE</t>
  </si>
  <si>
    <t>NSE:FINNIFTY2470224500CE</t>
  </si>
  <si>
    <t>NSE:FINNIFTY2470224500PE</t>
  </si>
  <si>
    <t>NSE:FINNIFTY2470224550CE</t>
  </si>
  <si>
    <t>NSE:FINNIFTY2470224550PE</t>
  </si>
  <si>
    <t>NSE:FINNIFTY2470224600CE</t>
  </si>
  <si>
    <t>NSE:FINNIFTY2470224600PE</t>
  </si>
  <si>
    <t>NSE:NIFTY24JUN24850CE</t>
  </si>
  <si>
    <t>NSE:NIFTY24JUN24850PE</t>
  </si>
  <si>
    <t>BSE:SENSEX24JUN80500CE</t>
  </si>
  <si>
    <t>BSE:SENSEX24JUN80500PE</t>
  </si>
  <si>
    <t>BSE:SENSEX24JUN80600CE</t>
  </si>
  <si>
    <t>BSE:SENSEX24JUN80600PE</t>
  </si>
  <si>
    <t>BSE:BANKEX2470162200CE</t>
  </si>
  <si>
    <t>BSE:BANKEX2470162200PE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</si>
</sst>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4009]hh:mm;@"/>
    <numFmt numFmtId="165" formatCode="[$-F400]h:mm:ss\ AM/PM"/>
  </numFmts>
  <fonts count="2" x14ac:knownFonts="1">
    <font>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rgb="FFFFFF00"/>
        <bgColor indexed="64"/>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
    <xf numFmtId="0" fontId="0" fillId="0" borderId="0"/>
  </cellStyleXfs>
  <cellXfs count="19">
    <xf numFmtId="0" fontId="0" fillId="0" borderId="0" xfId="0"/>
    <xf numFmtId="14" fontId="0" fillId="0" borderId="0" xfId="0" applyNumberFormat="1"/>
    <xf numFmtId="22" fontId="0" fillId="0" borderId="0" xfId="0" applyNumberFormat="1"/>
    <xf numFmtId="0" fontId="0" fillId="2"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xf numFmtId="164" fontId="0" fillId="0" borderId="0" xfId="0" applyNumberFormat="1"/>
    <xf numFmtId="164" fontId="1" fillId="0" borderId="2" xfId="0" applyNumberFormat="1" applyFont="1" applyBorder="1"/>
    <xf numFmtId="2" fontId="1" fillId="0" borderId="5" xfId="0" applyNumberFormat="1" applyFont="1" applyBorder="1"/>
    <xf numFmtId="2" fontId="1" fillId="0" borderId="6" xfId="0" applyNumberFormat="1" applyFont="1" applyBorder="1"/>
    <xf numFmtId="164" fontId="0" fillId="0" borderId="1" xfId="0" applyNumberFormat="1" applyBorder="1"/>
    <xf numFmtId="0" fontId="0" fillId="0" borderId="3" xfId="0" applyBorder="1"/>
    <xf numFmtId="0" fontId="0" fillId="0" borderId="4" xfId="0" applyBorder="1"/>
    <xf numFmtId="164" fontId="0" fillId="0" borderId="2" xfId="0" applyNumberFormat="1" applyBorder="1"/>
    <xf numFmtId="0" fontId="0" fillId="0" borderId="5" xfId="0" applyBorder="1"/>
    <xf numFmtId="0" fontId="0" fillId="0" borderId="6" xfId="0" applyBorder="1"/>
    <xf numFmtId="165" fontId="0" fillId="0" borderId="0" xfId="0" applyNumberFormat="1"/>
  </cellXfs>
  <cellStyles count="1">
    <cellStyle name="Normal" xfId="0" builtinId="0"/>
  </cellStyles>
  <dxfs count="1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CC02E"/>
      <color rgb="FFEA2C0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NIFTY OI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0"/>
          <c:tx>
            <c:strRef>
              <c:f>OptionChain!$F$2</c:f>
              <c:strCache>
                <c:ptCount val="1"/>
                <c:pt idx="0">
                  <c:v>PE_OI</c:v>
                </c:pt>
              </c:strCache>
            </c:strRef>
          </c:tx>
          <c:spPr>
            <a:solidFill>
              <a:srgbClr val="0CC02E"/>
            </a:solidFill>
            <a:ln>
              <a:noFill/>
            </a:ln>
            <a:effectLst/>
          </c:spPr>
          <c:invertIfNegative val="0"/>
          <c:cat>
            <c:numRef>
              <c:f>OptionChain!$D$3:$D$13</c:f>
              <c:numCache>
                <c:formatCode>General</c:formatCode>
                <c:ptCount val="11"/>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f>OptionChain!$F$3:$F$13</c:f>
              <c:numCache>
                <c:formatCode>General</c:formatCode>
                <c:ptCount val="11"/>
                <c:pt idx="0">
                  <c:v>8843350</c:v>
                </c:pt>
                <c:pt idx="1">
                  <c:v>3873700</c:v>
                </c:pt>
                <c:pt idx="2">
                  <c:v>9569175</c:v>
                </c:pt>
                <c:pt idx="3">
                  <c:v>3428025</c:v>
                </c:pt>
                <c:pt idx="4">
                  <c:v>7826375</c:v>
                </c:pt>
                <c:pt idx="5">
                  <c:v>4006775</c:v>
                </c:pt>
                <c:pt idx="6">
                  <c:v>2135650</c:v>
                </c:pt>
                <c:pt idx="7">
                  <c:v>444000</c:v>
                </c:pt>
                <c:pt idx="8">
                  <c:v>2270800</c:v>
                </c:pt>
                <c:pt idx="9">
                  <c:v>57425</c:v>
                </c:pt>
                <c:pt idx="10">
                  <c:v>107225</c:v>
                </c:pt>
              </c:numCache>
            </c:numRef>
          </c:val>
          <c:extLst>
            <c:ext xmlns:c16="http://schemas.microsoft.com/office/drawing/2014/chart" uri="{C3380CC4-5D6E-409C-BE32-E72D297353CC}">
              <c16:uniqueId val="{00000005-3F4B-4CC4-B247-E12E618A02EA}"/>
            </c:ext>
          </c:extLst>
        </c:ser>
        <c:ser>
          <c:idx val="1"/>
          <c:order val="2"/>
          <c:tx>
            <c:strRef>
              <c:f>OptionChain!$B$2</c:f>
              <c:strCache>
                <c:ptCount val="1"/>
                <c:pt idx="0">
                  <c:v>CE_OI</c:v>
                </c:pt>
              </c:strCache>
            </c:strRef>
          </c:tx>
          <c:spPr>
            <a:solidFill>
              <a:srgbClr val="EA2C0C"/>
            </a:solidFill>
            <a:ln>
              <a:noFill/>
            </a:ln>
            <a:effectLst/>
          </c:spPr>
          <c:invertIfNegative val="0"/>
          <c:cat>
            <c:numRef>
              <c:f>OptionChain!$D$3:$D$13</c:f>
              <c:numCache>
                <c:formatCode>General</c:formatCode>
                <c:ptCount val="11"/>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f>OptionChain!$B$3:$B$13</c:f>
              <c:numCache>
                <c:formatCode>General</c:formatCode>
                <c:ptCount val="11"/>
                <c:pt idx="0">
                  <c:v>3670750</c:v>
                </c:pt>
                <c:pt idx="1">
                  <c:v>1029125</c:v>
                </c:pt>
                <c:pt idx="2">
                  <c:v>4737600</c:v>
                </c:pt>
                <c:pt idx="3">
                  <c:v>2026800</c:v>
                </c:pt>
                <c:pt idx="4">
                  <c:v>5697350</c:v>
                </c:pt>
                <c:pt idx="5">
                  <c:v>4069775</c:v>
                </c:pt>
                <c:pt idx="6">
                  <c:v>6581975</c:v>
                </c:pt>
                <c:pt idx="7">
                  <c:v>2502200</c:v>
                </c:pt>
                <c:pt idx="8">
                  <c:v>12262175</c:v>
                </c:pt>
                <c:pt idx="9">
                  <c:v>4340875</c:v>
                </c:pt>
                <c:pt idx="10">
                  <c:v>6114650</c:v>
                </c:pt>
              </c:numCache>
            </c:numRef>
          </c:val>
          <c:extLst>
            <c:ext xmlns:c16="http://schemas.microsoft.com/office/drawing/2014/chart" uri="{C3380CC4-5D6E-409C-BE32-E72D297353CC}">
              <c16:uniqueId val="{00000001-3F4B-4CC4-B247-E12E618A02EA}"/>
            </c:ext>
          </c:extLst>
        </c:ser>
        <c:dLbls>
          <c:showLegendKey val="0"/>
          <c:showVal val="0"/>
          <c:showCatName val="0"/>
          <c:showSerName val="0"/>
          <c:showPercent val="0"/>
          <c:showBubbleSize val="0"/>
        </c:dLbls>
        <c:gapWidth val="219"/>
        <c:overlap val="-27"/>
        <c:axId val="361659535"/>
        <c:axId val="361660975"/>
        <c:extLst>
          <c:ext xmlns:c15="http://schemas.microsoft.com/office/drawing/2012/chart" uri="{02D57815-91ED-43cb-92C2-25804820EDAC}">
            <c15:filteredBarSeries>
              <c15:ser>
                <c:idx val="0"/>
                <c:order val="1"/>
                <c:tx>
                  <c:strRef>
                    <c:extLst>
                      <c:ext uri="{02D57815-91ED-43cb-92C2-25804820EDAC}">
                        <c15:formulaRef>
                          <c15:sqref>OptionChain!$A$2</c15:sqref>
                        </c15:formulaRef>
                      </c:ext>
                    </c:extLst>
                    <c:strCache>
                      <c:ptCount val="1"/>
                      <c:pt idx="0">
                        <c:v>CE_VOL</c:v>
                      </c:pt>
                    </c:strCache>
                  </c:strRef>
                </c:tx>
                <c:spPr>
                  <a:solidFill>
                    <a:schemeClr val="accent1"/>
                  </a:solidFill>
                  <a:ln>
                    <a:noFill/>
                  </a:ln>
                  <a:effectLst/>
                </c:spPr>
                <c:invertIfNegative val="0"/>
                <c:cat>
                  <c:numRef>
                    <c:extLst>
                      <c:ext uri="{02D57815-91ED-43cb-92C2-25804820EDAC}">
                        <c15:formulaRef>
                          <c15:sqref>OptionChain!$D$3:$D$13</c15:sqref>
                        </c15:formulaRef>
                      </c:ext>
                    </c:extLst>
                    <c:numCache>
                      <c:formatCode>General</c:formatCode>
                      <c:ptCount val="11"/>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c:ext uri="{02D57815-91ED-43cb-92C2-25804820EDAC}">
                        <c15:formulaRef>
                          <c15:sqref>OptionChain!$A$3:$A$13</c15:sqref>
                        </c15:formulaRef>
                      </c:ext>
                    </c:extLst>
                    <c:numCache>
                      <c:formatCode>General</c:formatCode>
                      <c:ptCount val="11"/>
                      <c:pt idx="0">
                        <c:v>26553175</c:v>
                      </c:pt>
                      <c:pt idx="1">
                        <c:v>23598325</c:v>
                      </c:pt>
                      <c:pt idx="2">
                        <c:v>99651900</c:v>
                      </c:pt>
                      <c:pt idx="3">
                        <c:v>71095500</c:v>
                      </c:pt>
                      <c:pt idx="4">
                        <c:v>120118200</c:v>
                      </c:pt>
                      <c:pt idx="5">
                        <c:v>78867900</c:v>
                      </c:pt>
                      <c:pt idx="6">
                        <c:v>85556850</c:v>
                      </c:pt>
                      <c:pt idx="7">
                        <c:v>48613250</c:v>
                      </c:pt>
                      <c:pt idx="8">
                        <c:v>118700800</c:v>
                      </c:pt>
                      <c:pt idx="9">
                        <c:v>50625350</c:v>
                      </c:pt>
                      <c:pt idx="10">
                        <c:v>62498450</c:v>
                      </c:pt>
                    </c:numCache>
                  </c:numRef>
                </c:val>
                <c:extLst>
                  <c:ext xmlns:c16="http://schemas.microsoft.com/office/drawing/2014/chart" uri="{C3380CC4-5D6E-409C-BE32-E72D297353CC}">
                    <c16:uniqueId val="{00000000-3F4B-4CC4-B247-E12E618A02EA}"/>
                  </c:ext>
                </c:extLst>
              </c15:ser>
            </c15:filteredBarSeries>
            <c15:filteredBarSeries>
              <c15:ser>
                <c:idx val="2"/>
                <c:order val="3"/>
                <c:tx>
                  <c:strRef>
                    <c:extLst xmlns:c15="http://schemas.microsoft.com/office/drawing/2012/chart">
                      <c:ext xmlns:c15="http://schemas.microsoft.com/office/drawing/2012/chart" uri="{02D57815-91ED-43cb-92C2-25804820EDAC}">
                        <c15:formulaRef>
                          <c15:sqref>OptionChain!$C$2</c15:sqref>
                        </c15:formulaRef>
                      </c:ext>
                    </c:extLst>
                    <c:strCache>
                      <c:ptCount val="1"/>
                      <c:pt idx="0">
                        <c:v>CE_COI</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OptionChain!$D$3:$D$13</c15:sqref>
                        </c15:formulaRef>
                      </c:ext>
                    </c:extLst>
                    <c:numCache>
                      <c:formatCode>General</c:formatCode>
                      <c:ptCount val="11"/>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xmlns:c15="http://schemas.microsoft.com/office/drawing/2012/chart">
                      <c:ext xmlns:c15="http://schemas.microsoft.com/office/drawing/2012/chart" uri="{02D57815-91ED-43cb-92C2-25804820EDAC}">
                        <c15:formulaRef>
                          <c15:sqref>OptionChain!$C$3:$C$13</c15:sqref>
                        </c15:formulaRef>
                      </c:ext>
                    </c:extLst>
                    <c:numCache>
                      <c:formatCode>General</c:formatCode>
                      <c:ptCount val="11"/>
                      <c:pt idx="0">
                        <c:v>-821500</c:v>
                      </c:pt>
                      <c:pt idx="1">
                        <c:v>-588625</c:v>
                      </c:pt>
                      <c:pt idx="2">
                        <c:v>361800</c:v>
                      </c:pt>
                      <c:pt idx="3">
                        <c:v>118050</c:v>
                      </c:pt>
                      <c:pt idx="4">
                        <c:v>1547630</c:v>
                      </c:pt>
                      <c:pt idx="5">
                        <c:v>2105795</c:v>
                      </c:pt>
                      <c:pt idx="6">
                        <c:v>2604325</c:v>
                      </c:pt>
                      <c:pt idx="7">
                        <c:v>790320</c:v>
                      </c:pt>
                      <c:pt idx="8">
                        <c:v>1532175</c:v>
                      </c:pt>
                      <c:pt idx="9">
                        <c:v>1634425</c:v>
                      </c:pt>
                      <c:pt idx="10">
                        <c:v>1458750</c:v>
                      </c:pt>
                    </c:numCache>
                  </c:numRef>
                </c:val>
                <c:extLst xmlns:c15="http://schemas.microsoft.com/office/drawing/2012/chart">
                  <c:ext xmlns:c16="http://schemas.microsoft.com/office/drawing/2014/chart" uri="{C3380CC4-5D6E-409C-BE32-E72D297353CC}">
                    <c16:uniqueId val="{00000002-3F4B-4CC4-B247-E12E618A02EA}"/>
                  </c:ext>
                </c:extLst>
              </c15:ser>
            </c15:filteredBarSeries>
            <c15:filteredBarSeries>
              <c15:ser>
                <c:idx val="3"/>
                <c:order val="4"/>
                <c:tx>
                  <c:strRef>
                    <c:extLst xmlns:c15="http://schemas.microsoft.com/office/drawing/2012/chart">
                      <c:ext xmlns:c15="http://schemas.microsoft.com/office/drawing/2012/chart" uri="{02D57815-91ED-43cb-92C2-25804820EDAC}">
                        <c15:formulaRef>
                          <c15:sqref>OptionChain!$D$2</c15:sqref>
                        </c15:formulaRef>
                      </c:ext>
                    </c:extLst>
                    <c:strCache>
                      <c:ptCount val="1"/>
                      <c:pt idx="0">
                        <c:v>StrikePrice</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OptionChain!$D$3:$D$13</c15:sqref>
                        </c15:formulaRef>
                      </c:ext>
                    </c:extLst>
                    <c:numCache>
                      <c:formatCode>General</c:formatCode>
                      <c:ptCount val="11"/>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xmlns:c15="http://schemas.microsoft.com/office/drawing/2012/chart">
                      <c:ext xmlns:c15="http://schemas.microsoft.com/office/drawing/2012/chart" uri="{02D57815-91ED-43cb-92C2-25804820EDAC}">
                        <c15:formulaRef>
                          <c15:sqref>OptionChain!$D$3:$D$13</c15:sqref>
                        </c15:formulaRef>
                      </c:ext>
                    </c:extLst>
                    <c:numCache>
                      <c:formatCode>General</c:formatCode>
                      <c:ptCount val="11"/>
                      <c:pt idx="0">
                        <c:v>23600</c:v>
                      </c:pt>
                      <c:pt idx="1">
                        <c:v>23650</c:v>
                      </c:pt>
                      <c:pt idx="2">
                        <c:v>23700</c:v>
                      </c:pt>
                      <c:pt idx="3">
                        <c:v>23750</c:v>
                      </c:pt>
                      <c:pt idx="4">
                        <c:v>23800</c:v>
                      </c:pt>
                      <c:pt idx="5">
                        <c:v>23850</c:v>
                      </c:pt>
                      <c:pt idx="6">
                        <c:v>23900</c:v>
                      </c:pt>
                      <c:pt idx="7">
                        <c:v>23950</c:v>
                      </c:pt>
                      <c:pt idx="8">
                        <c:v>24000</c:v>
                      </c:pt>
                      <c:pt idx="9">
                        <c:v>24050</c:v>
                      </c:pt>
                      <c:pt idx="10">
                        <c:v>24100</c:v>
                      </c:pt>
                    </c:numCache>
                  </c:numRef>
                </c:val>
                <c:extLst xmlns:c15="http://schemas.microsoft.com/office/drawing/2012/chart">
                  <c:ext xmlns:c16="http://schemas.microsoft.com/office/drawing/2014/chart" uri="{C3380CC4-5D6E-409C-BE32-E72D297353CC}">
                    <c16:uniqueId val="{00000003-3F4B-4CC4-B247-E12E618A02EA}"/>
                  </c:ext>
                </c:extLst>
              </c15:ser>
            </c15:filteredBarSeries>
            <c15:filteredBarSeries>
              <c15:ser>
                <c:idx val="4"/>
                <c:order val="5"/>
                <c:tx>
                  <c:strRef>
                    <c:extLst xmlns:c15="http://schemas.microsoft.com/office/drawing/2012/chart">
                      <c:ext xmlns:c15="http://schemas.microsoft.com/office/drawing/2012/chart" uri="{02D57815-91ED-43cb-92C2-25804820EDAC}">
                        <c15:formulaRef>
                          <c15:sqref>OptionChain!$E$2</c15:sqref>
                        </c15:formulaRef>
                      </c:ext>
                    </c:extLst>
                    <c:strCache>
                      <c:ptCount val="1"/>
                      <c:pt idx="0">
                        <c:v>PE_COI</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OptionChain!$D$3:$D$13</c15:sqref>
                        </c15:formulaRef>
                      </c:ext>
                    </c:extLst>
                    <c:numCache>
                      <c:formatCode>General</c:formatCode>
                      <c:ptCount val="11"/>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xmlns:c15="http://schemas.microsoft.com/office/drawing/2012/chart">
                      <c:ext xmlns:c15="http://schemas.microsoft.com/office/drawing/2012/chart" uri="{02D57815-91ED-43cb-92C2-25804820EDAC}">
                        <c15:formulaRef>
                          <c15:sqref>OptionChain!$E$3:$E$13</c15:sqref>
                        </c15:formulaRef>
                      </c:ext>
                    </c:extLst>
                    <c:numCache>
                      <c:formatCode>General</c:formatCode>
                      <c:ptCount val="11"/>
                      <c:pt idx="0">
                        <c:v>1423250</c:v>
                      </c:pt>
                      <c:pt idx="1">
                        <c:v>1406080</c:v>
                      </c:pt>
                      <c:pt idx="2">
                        <c:v>5890725</c:v>
                      </c:pt>
                      <c:pt idx="3">
                        <c:v>2281625</c:v>
                      </c:pt>
                      <c:pt idx="4">
                        <c:v>6689225</c:v>
                      </c:pt>
                      <c:pt idx="5">
                        <c:v>3695225</c:v>
                      </c:pt>
                      <c:pt idx="6">
                        <c:v>1770300</c:v>
                      </c:pt>
                      <c:pt idx="7">
                        <c:v>343175</c:v>
                      </c:pt>
                      <c:pt idx="8">
                        <c:v>857300</c:v>
                      </c:pt>
                      <c:pt idx="9">
                        <c:v>49025</c:v>
                      </c:pt>
                      <c:pt idx="10">
                        <c:v>78050</c:v>
                      </c:pt>
                    </c:numCache>
                  </c:numRef>
                </c:val>
                <c:extLst xmlns:c15="http://schemas.microsoft.com/office/drawing/2012/chart">
                  <c:ext xmlns:c16="http://schemas.microsoft.com/office/drawing/2014/chart" uri="{C3380CC4-5D6E-409C-BE32-E72D297353CC}">
                    <c16:uniqueId val="{00000004-3F4B-4CC4-B247-E12E618A02EA}"/>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OptionChain!$G$2</c15:sqref>
                        </c15:formulaRef>
                      </c:ext>
                    </c:extLst>
                    <c:strCache>
                      <c:ptCount val="1"/>
                      <c:pt idx="0">
                        <c:v>PE_VOL</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OptionChain!$D$3:$D$13</c15:sqref>
                        </c15:formulaRef>
                      </c:ext>
                    </c:extLst>
                    <c:numCache>
                      <c:formatCode>General</c:formatCode>
                      <c:ptCount val="11"/>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xmlns:c15="http://schemas.microsoft.com/office/drawing/2012/chart">
                      <c:ext xmlns:c15="http://schemas.microsoft.com/office/drawing/2012/chart" uri="{02D57815-91ED-43cb-92C2-25804820EDAC}">
                        <c15:formulaRef>
                          <c15:sqref>OptionChain!$G$3:$G$13</c15:sqref>
                        </c15:formulaRef>
                      </c:ext>
                    </c:extLst>
                    <c:numCache>
                      <c:formatCode>General</c:formatCode>
                      <c:ptCount val="11"/>
                      <c:pt idx="0">
                        <c:v>69791975</c:v>
                      </c:pt>
                      <c:pt idx="1">
                        <c:v>43675750</c:v>
                      </c:pt>
                      <c:pt idx="2">
                        <c:v>113733050</c:v>
                      </c:pt>
                      <c:pt idx="3">
                        <c:v>52747125</c:v>
                      </c:pt>
                      <c:pt idx="4">
                        <c:v>79023275</c:v>
                      </c:pt>
                      <c:pt idx="5">
                        <c:v>34548850</c:v>
                      </c:pt>
                      <c:pt idx="6">
                        <c:v>22745225</c:v>
                      </c:pt>
                      <c:pt idx="7">
                        <c:v>4571050</c:v>
                      </c:pt>
                      <c:pt idx="8">
                        <c:v>9528250</c:v>
                      </c:pt>
                      <c:pt idx="9">
                        <c:v>552500</c:v>
                      </c:pt>
                      <c:pt idx="10">
                        <c:v>660775</c:v>
                      </c:pt>
                    </c:numCache>
                  </c:numRef>
                </c:val>
                <c:extLst xmlns:c15="http://schemas.microsoft.com/office/drawing/2012/chart">
                  <c:ext xmlns:c16="http://schemas.microsoft.com/office/drawing/2014/chart" uri="{C3380CC4-5D6E-409C-BE32-E72D297353CC}">
                    <c16:uniqueId val="{00000006-3F4B-4CC4-B247-E12E618A02EA}"/>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OptionChain!$H$2</c15:sqref>
                        </c15:formulaRef>
                      </c:ext>
                    </c:extLst>
                    <c:strCache>
                      <c:ptCount val="1"/>
                      <c:pt idx="0">
                        <c:v>TIME</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OptionChain!$D$3:$D$13</c15:sqref>
                        </c15:formulaRef>
                      </c:ext>
                    </c:extLst>
                    <c:numCache>
                      <c:formatCode>General</c:formatCode>
                      <c:ptCount val="11"/>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xmlns:c15="http://schemas.microsoft.com/office/drawing/2012/chart">
                      <c:ext xmlns:c15="http://schemas.microsoft.com/office/drawing/2012/chart" uri="{02D57815-91ED-43cb-92C2-25804820EDAC}">
                        <c15:formulaRef>
                          <c15:sqref>OptionChain!$H$3:$H$13</c15:sqref>
                        </c15:formulaRef>
                      </c:ext>
                    </c:extLst>
                    <c:numCache>
                      <c:formatCode>[$-14009]hh:mm;@</c:formatCode>
                      <c:ptCount val="11"/>
                      <c:pt idx="0">
                        <c:v>45469.57169409722</c:v>
                      </c:pt>
                      <c:pt idx="1">
                        <c:v>45469.57169409722</c:v>
                      </c:pt>
                      <c:pt idx="2">
                        <c:v>45469.57169409722</c:v>
                      </c:pt>
                      <c:pt idx="3">
                        <c:v>45469.57169409722</c:v>
                      </c:pt>
                      <c:pt idx="4">
                        <c:v>45469.57169409722</c:v>
                      </c:pt>
                      <c:pt idx="5">
                        <c:v>45469.57169409722</c:v>
                      </c:pt>
                      <c:pt idx="6">
                        <c:v>45469.57169409722</c:v>
                      </c:pt>
                      <c:pt idx="7">
                        <c:v>45469.57169409722</c:v>
                      </c:pt>
                      <c:pt idx="8">
                        <c:v>45469.57169409722</c:v>
                      </c:pt>
                      <c:pt idx="9">
                        <c:v>45469.57169409722</c:v>
                      </c:pt>
                      <c:pt idx="10">
                        <c:v>45469.57169409722</c:v>
                      </c:pt>
                    </c:numCache>
                  </c:numRef>
                </c:val>
                <c:extLst xmlns:c15="http://schemas.microsoft.com/office/drawing/2012/chart">
                  <c:ext xmlns:c16="http://schemas.microsoft.com/office/drawing/2014/chart" uri="{C3380CC4-5D6E-409C-BE32-E72D297353CC}">
                    <c16:uniqueId val="{00000007-3F4B-4CC4-B247-E12E618A02EA}"/>
                  </c:ext>
                </c:extLst>
              </c15:ser>
            </c15:filteredBarSeries>
          </c:ext>
        </c:extLst>
      </c:barChart>
      <c:catAx>
        <c:axId val="361659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660975"/>
        <c:crosses val="autoZero"/>
        <c:auto val="1"/>
        <c:lblAlgn val="ctr"/>
        <c:lblOffset val="100"/>
        <c:noMultiLvlLbl val="0"/>
      </c:catAx>
      <c:valAx>
        <c:axId val="361660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6595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NIFTY COI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OptionChain!$E$2</c:f>
              <c:strCache>
                <c:ptCount val="1"/>
                <c:pt idx="0">
                  <c:v>PE_COI</c:v>
                </c:pt>
              </c:strCache>
            </c:strRef>
          </c:tx>
          <c:spPr>
            <a:solidFill>
              <a:srgbClr val="0CC02E"/>
            </a:solidFill>
            <a:ln>
              <a:noFill/>
            </a:ln>
            <a:effectLst/>
          </c:spPr>
          <c:invertIfNegative val="0"/>
          <c:cat>
            <c:numRef>
              <c:f>OptionChain!$D$3:$D$14</c:f>
              <c:numCache>
                <c:formatCode>General</c:formatCode>
                <c:ptCount val="12"/>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f>OptionChain!$E$3:$E$13</c:f>
              <c:numCache>
                <c:formatCode>General</c:formatCode>
                <c:ptCount val="11"/>
                <c:pt idx="0">
                  <c:v>1423250</c:v>
                </c:pt>
                <c:pt idx="1">
                  <c:v>1406080</c:v>
                </c:pt>
                <c:pt idx="2">
                  <c:v>5890725</c:v>
                </c:pt>
                <c:pt idx="3">
                  <c:v>2281625</c:v>
                </c:pt>
                <c:pt idx="4">
                  <c:v>6689225</c:v>
                </c:pt>
                <c:pt idx="5">
                  <c:v>3695225</c:v>
                </c:pt>
                <c:pt idx="6">
                  <c:v>1770300</c:v>
                </c:pt>
                <c:pt idx="7">
                  <c:v>343175</c:v>
                </c:pt>
                <c:pt idx="8">
                  <c:v>857300</c:v>
                </c:pt>
                <c:pt idx="9">
                  <c:v>49025</c:v>
                </c:pt>
                <c:pt idx="10">
                  <c:v>78050</c:v>
                </c:pt>
              </c:numCache>
            </c:numRef>
          </c:val>
          <c:extLst>
            <c:ext xmlns:c16="http://schemas.microsoft.com/office/drawing/2014/chart" uri="{C3380CC4-5D6E-409C-BE32-E72D297353CC}">
              <c16:uniqueId val="{00000004-BCE7-4D4B-A097-06708F8946D8}"/>
            </c:ext>
          </c:extLst>
        </c:ser>
        <c:ser>
          <c:idx val="2"/>
          <c:order val="3"/>
          <c:tx>
            <c:strRef>
              <c:f>OptionChain!$C$2</c:f>
              <c:strCache>
                <c:ptCount val="1"/>
                <c:pt idx="0">
                  <c:v>CE_COI</c:v>
                </c:pt>
              </c:strCache>
            </c:strRef>
          </c:tx>
          <c:spPr>
            <a:solidFill>
              <a:srgbClr val="EA2C0C"/>
            </a:solidFill>
            <a:ln>
              <a:noFill/>
            </a:ln>
            <a:effectLst/>
          </c:spPr>
          <c:invertIfNegative val="0"/>
          <c:cat>
            <c:numRef>
              <c:f>OptionChain!$D$3:$D$14</c:f>
              <c:numCache>
                <c:formatCode>General</c:formatCode>
                <c:ptCount val="12"/>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f>OptionChain!$C$3:$C$13</c:f>
              <c:numCache>
                <c:formatCode>General</c:formatCode>
                <c:ptCount val="11"/>
                <c:pt idx="0">
                  <c:v>-821500</c:v>
                </c:pt>
                <c:pt idx="1">
                  <c:v>-588625</c:v>
                </c:pt>
                <c:pt idx="2">
                  <c:v>361800</c:v>
                </c:pt>
                <c:pt idx="3">
                  <c:v>118050</c:v>
                </c:pt>
                <c:pt idx="4">
                  <c:v>1547630</c:v>
                </c:pt>
                <c:pt idx="5">
                  <c:v>2105795</c:v>
                </c:pt>
                <c:pt idx="6">
                  <c:v>2604325</c:v>
                </c:pt>
                <c:pt idx="7">
                  <c:v>790320</c:v>
                </c:pt>
                <c:pt idx="8">
                  <c:v>1532175</c:v>
                </c:pt>
                <c:pt idx="9">
                  <c:v>1634425</c:v>
                </c:pt>
                <c:pt idx="10">
                  <c:v>1458750</c:v>
                </c:pt>
              </c:numCache>
            </c:numRef>
          </c:val>
          <c:extLst>
            <c:ext xmlns:c16="http://schemas.microsoft.com/office/drawing/2014/chart" uri="{C3380CC4-5D6E-409C-BE32-E72D297353CC}">
              <c16:uniqueId val="{00000002-BCE7-4D4B-A097-06708F8946D8}"/>
            </c:ext>
          </c:extLst>
        </c:ser>
        <c:dLbls>
          <c:showLegendKey val="0"/>
          <c:showVal val="0"/>
          <c:showCatName val="0"/>
          <c:showSerName val="0"/>
          <c:showPercent val="0"/>
          <c:showBubbleSize val="0"/>
        </c:dLbls>
        <c:gapWidth val="219"/>
        <c:overlap val="-27"/>
        <c:axId val="1879761663"/>
        <c:axId val="1879774623"/>
        <c:extLst>
          <c:ext xmlns:c15="http://schemas.microsoft.com/office/drawing/2012/chart" uri="{02D57815-91ED-43cb-92C2-25804820EDAC}">
            <c15:filteredBarSeries>
              <c15:ser>
                <c:idx val="0"/>
                <c:order val="0"/>
                <c:tx>
                  <c:strRef>
                    <c:extLst>
                      <c:ext uri="{02D57815-91ED-43cb-92C2-25804820EDAC}">
                        <c15:formulaRef>
                          <c15:sqref>OptionChain!$A$2</c15:sqref>
                        </c15:formulaRef>
                      </c:ext>
                    </c:extLst>
                    <c:strCache>
                      <c:ptCount val="1"/>
                      <c:pt idx="0">
                        <c:v>CE_VOL</c:v>
                      </c:pt>
                    </c:strCache>
                  </c:strRef>
                </c:tx>
                <c:spPr>
                  <a:solidFill>
                    <a:schemeClr val="accent1"/>
                  </a:solidFill>
                  <a:ln>
                    <a:noFill/>
                  </a:ln>
                  <a:effectLst/>
                </c:spPr>
                <c:invertIfNegative val="0"/>
                <c:cat>
                  <c:numRef>
                    <c:extLst>
                      <c:ext uri="{02D57815-91ED-43cb-92C2-25804820EDAC}">
                        <c15:formulaRef>
                          <c15:sqref>OptionChain!$D$3:$D$14</c15:sqref>
                        </c15:formulaRef>
                      </c:ext>
                    </c:extLst>
                    <c:numCache>
                      <c:formatCode>General</c:formatCode>
                      <c:ptCount val="12"/>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c:ext uri="{02D57815-91ED-43cb-92C2-25804820EDAC}">
                        <c15:formulaRef>
                          <c15:sqref>OptionChain!$A$3:$A$13</c15:sqref>
                        </c15:formulaRef>
                      </c:ext>
                    </c:extLst>
                    <c:numCache>
                      <c:formatCode>General</c:formatCode>
                      <c:ptCount val="11"/>
                      <c:pt idx="0">
                        <c:v>26553175</c:v>
                      </c:pt>
                      <c:pt idx="1">
                        <c:v>23598325</c:v>
                      </c:pt>
                      <c:pt idx="2">
                        <c:v>99651900</c:v>
                      </c:pt>
                      <c:pt idx="3">
                        <c:v>71095500</c:v>
                      </c:pt>
                      <c:pt idx="4">
                        <c:v>120118200</c:v>
                      </c:pt>
                      <c:pt idx="5">
                        <c:v>78867900</c:v>
                      </c:pt>
                      <c:pt idx="6">
                        <c:v>85556850</c:v>
                      </c:pt>
                      <c:pt idx="7">
                        <c:v>48613250</c:v>
                      </c:pt>
                      <c:pt idx="8">
                        <c:v>118700800</c:v>
                      </c:pt>
                      <c:pt idx="9">
                        <c:v>50625350</c:v>
                      </c:pt>
                      <c:pt idx="10">
                        <c:v>62498450</c:v>
                      </c:pt>
                    </c:numCache>
                  </c:numRef>
                </c:val>
                <c:extLst>
                  <c:ext xmlns:c16="http://schemas.microsoft.com/office/drawing/2014/chart" uri="{C3380CC4-5D6E-409C-BE32-E72D297353CC}">
                    <c16:uniqueId val="{00000000-BCE7-4D4B-A097-06708F8946D8}"/>
                  </c:ext>
                </c:extLst>
              </c15:ser>
            </c15:filteredBarSeries>
            <c15:filteredBarSeries>
              <c15:ser>
                <c:idx val="1"/>
                <c:order val="2"/>
                <c:tx>
                  <c:strRef>
                    <c:extLst xmlns:c15="http://schemas.microsoft.com/office/drawing/2012/chart">
                      <c:ext xmlns:c15="http://schemas.microsoft.com/office/drawing/2012/chart" uri="{02D57815-91ED-43cb-92C2-25804820EDAC}">
                        <c15:formulaRef>
                          <c15:sqref>OptionChain!$B$2</c15:sqref>
                        </c15:formulaRef>
                      </c:ext>
                    </c:extLst>
                    <c:strCache>
                      <c:ptCount val="1"/>
                      <c:pt idx="0">
                        <c:v>CE_OI</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OptionChain!$D$3:$D$14</c15:sqref>
                        </c15:formulaRef>
                      </c:ext>
                    </c:extLst>
                    <c:numCache>
                      <c:formatCode>General</c:formatCode>
                      <c:ptCount val="12"/>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xmlns:c15="http://schemas.microsoft.com/office/drawing/2012/chart">
                      <c:ext xmlns:c15="http://schemas.microsoft.com/office/drawing/2012/chart" uri="{02D57815-91ED-43cb-92C2-25804820EDAC}">
                        <c15:formulaRef>
                          <c15:sqref>OptionChain!$B$3:$B$13</c15:sqref>
                        </c15:formulaRef>
                      </c:ext>
                    </c:extLst>
                    <c:numCache>
                      <c:formatCode>General</c:formatCode>
                      <c:ptCount val="11"/>
                      <c:pt idx="0">
                        <c:v>3670750</c:v>
                      </c:pt>
                      <c:pt idx="1">
                        <c:v>1029125</c:v>
                      </c:pt>
                      <c:pt idx="2">
                        <c:v>4737600</c:v>
                      </c:pt>
                      <c:pt idx="3">
                        <c:v>2026800</c:v>
                      </c:pt>
                      <c:pt idx="4">
                        <c:v>5697350</c:v>
                      </c:pt>
                      <c:pt idx="5">
                        <c:v>4069775</c:v>
                      </c:pt>
                      <c:pt idx="6">
                        <c:v>6581975</c:v>
                      </c:pt>
                      <c:pt idx="7">
                        <c:v>2502200</c:v>
                      </c:pt>
                      <c:pt idx="8">
                        <c:v>12262175</c:v>
                      </c:pt>
                      <c:pt idx="9">
                        <c:v>4340875</c:v>
                      </c:pt>
                      <c:pt idx="10">
                        <c:v>6114650</c:v>
                      </c:pt>
                    </c:numCache>
                  </c:numRef>
                </c:val>
                <c:extLst xmlns:c15="http://schemas.microsoft.com/office/drawing/2012/chart">
                  <c:ext xmlns:c16="http://schemas.microsoft.com/office/drawing/2014/chart" uri="{C3380CC4-5D6E-409C-BE32-E72D297353CC}">
                    <c16:uniqueId val="{00000001-BCE7-4D4B-A097-06708F8946D8}"/>
                  </c:ext>
                </c:extLst>
              </c15:ser>
            </c15:filteredBarSeries>
            <c15:filteredBarSeries>
              <c15:ser>
                <c:idx val="3"/>
                <c:order val="4"/>
                <c:tx>
                  <c:strRef>
                    <c:extLst xmlns:c15="http://schemas.microsoft.com/office/drawing/2012/chart">
                      <c:ext xmlns:c15="http://schemas.microsoft.com/office/drawing/2012/chart" uri="{02D57815-91ED-43cb-92C2-25804820EDAC}">
                        <c15:formulaRef>
                          <c15:sqref>OptionChain!$D$2</c15:sqref>
                        </c15:formulaRef>
                      </c:ext>
                    </c:extLst>
                    <c:strCache>
                      <c:ptCount val="1"/>
                      <c:pt idx="0">
                        <c:v>StrikePrice</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OptionChain!$D$3:$D$14</c15:sqref>
                        </c15:formulaRef>
                      </c:ext>
                    </c:extLst>
                    <c:numCache>
                      <c:formatCode>General</c:formatCode>
                      <c:ptCount val="12"/>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xmlns:c15="http://schemas.microsoft.com/office/drawing/2012/chart">
                      <c:ext xmlns:c15="http://schemas.microsoft.com/office/drawing/2012/chart" uri="{02D57815-91ED-43cb-92C2-25804820EDAC}">
                        <c15:formulaRef>
                          <c15:sqref>OptionChain!$D$3:$D$13</c15:sqref>
                        </c15:formulaRef>
                      </c:ext>
                    </c:extLst>
                    <c:numCache>
                      <c:formatCode>General</c:formatCode>
                      <c:ptCount val="11"/>
                      <c:pt idx="0">
                        <c:v>23600</c:v>
                      </c:pt>
                      <c:pt idx="1">
                        <c:v>23650</c:v>
                      </c:pt>
                      <c:pt idx="2">
                        <c:v>23700</c:v>
                      </c:pt>
                      <c:pt idx="3">
                        <c:v>23750</c:v>
                      </c:pt>
                      <c:pt idx="4">
                        <c:v>23800</c:v>
                      </c:pt>
                      <c:pt idx="5">
                        <c:v>23850</c:v>
                      </c:pt>
                      <c:pt idx="6">
                        <c:v>23900</c:v>
                      </c:pt>
                      <c:pt idx="7">
                        <c:v>23950</c:v>
                      </c:pt>
                      <c:pt idx="8">
                        <c:v>24000</c:v>
                      </c:pt>
                      <c:pt idx="9">
                        <c:v>24050</c:v>
                      </c:pt>
                      <c:pt idx="10">
                        <c:v>24100</c:v>
                      </c:pt>
                    </c:numCache>
                  </c:numRef>
                </c:val>
                <c:extLst xmlns:c15="http://schemas.microsoft.com/office/drawing/2012/chart">
                  <c:ext xmlns:c16="http://schemas.microsoft.com/office/drawing/2014/chart" uri="{C3380CC4-5D6E-409C-BE32-E72D297353CC}">
                    <c16:uniqueId val="{00000003-BCE7-4D4B-A097-06708F8946D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OptionChain!$F$2</c15:sqref>
                        </c15:formulaRef>
                      </c:ext>
                    </c:extLst>
                    <c:strCache>
                      <c:ptCount val="1"/>
                      <c:pt idx="0">
                        <c:v>PE_OI</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OptionChain!$D$3:$D$14</c15:sqref>
                        </c15:formulaRef>
                      </c:ext>
                    </c:extLst>
                    <c:numCache>
                      <c:formatCode>General</c:formatCode>
                      <c:ptCount val="12"/>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xmlns:c15="http://schemas.microsoft.com/office/drawing/2012/chart">
                      <c:ext xmlns:c15="http://schemas.microsoft.com/office/drawing/2012/chart" uri="{02D57815-91ED-43cb-92C2-25804820EDAC}">
                        <c15:formulaRef>
                          <c15:sqref>OptionChain!$F$3:$F$13</c15:sqref>
                        </c15:formulaRef>
                      </c:ext>
                    </c:extLst>
                    <c:numCache>
                      <c:formatCode>General</c:formatCode>
                      <c:ptCount val="11"/>
                      <c:pt idx="0">
                        <c:v>8843350</c:v>
                      </c:pt>
                      <c:pt idx="1">
                        <c:v>3873700</c:v>
                      </c:pt>
                      <c:pt idx="2">
                        <c:v>9569175</c:v>
                      </c:pt>
                      <c:pt idx="3">
                        <c:v>3428025</c:v>
                      </c:pt>
                      <c:pt idx="4">
                        <c:v>7826375</c:v>
                      </c:pt>
                      <c:pt idx="5">
                        <c:v>4006775</c:v>
                      </c:pt>
                      <c:pt idx="6">
                        <c:v>2135650</c:v>
                      </c:pt>
                      <c:pt idx="7">
                        <c:v>444000</c:v>
                      </c:pt>
                      <c:pt idx="8">
                        <c:v>2270800</c:v>
                      </c:pt>
                      <c:pt idx="9">
                        <c:v>57425</c:v>
                      </c:pt>
                      <c:pt idx="10">
                        <c:v>107225</c:v>
                      </c:pt>
                    </c:numCache>
                  </c:numRef>
                </c:val>
                <c:extLst xmlns:c15="http://schemas.microsoft.com/office/drawing/2012/chart">
                  <c:ext xmlns:c16="http://schemas.microsoft.com/office/drawing/2014/chart" uri="{C3380CC4-5D6E-409C-BE32-E72D297353CC}">
                    <c16:uniqueId val="{00000005-BCE7-4D4B-A097-06708F8946D8}"/>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OptionChain!$G$2</c15:sqref>
                        </c15:formulaRef>
                      </c:ext>
                    </c:extLst>
                    <c:strCache>
                      <c:ptCount val="1"/>
                      <c:pt idx="0">
                        <c:v>PE_VOL</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OptionChain!$D$3:$D$14</c15:sqref>
                        </c15:formulaRef>
                      </c:ext>
                    </c:extLst>
                    <c:numCache>
                      <c:formatCode>General</c:formatCode>
                      <c:ptCount val="12"/>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xmlns:c15="http://schemas.microsoft.com/office/drawing/2012/chart">
                      <c:ext xmlns:c15="http://schemas.microsoft.com/office/drawing/2012/chart" uri="{02D57815-91ED-43cb-92C2-25804820EDAC}">
                        <c15:formulaRef>
                          <c15:sqref>OptionChain!$G$3:$G$13</c15:sqref>
                        </c15:formulaRef>
                      </c:ext>
                    </c:extLst>
                    <c:numCache>
                      <c:formatCode>General</c:formatCode>
                      <c:ptCount val="11"/>
                      <c:pt idx="0">
                        <c:v>69791975</c:v>
                      </c:pt>
                      <c:pt idx="1">
                        <c:v>43675750</c:v>
                      </c:pt>
                      <c:pt idx="2">
                        <c:v>113733050</c:v>
                      </c:pt>
                      <c:pt idx="3">
                        <c:v>52747125</c:v>
                      </c:pt>
                      <c:pt idx="4">
                        <c:v>79023275</c:v>
                      </c:pt>
                      <c:pt idx="5">
                        <c:v>34548850</c:v>
                      </c:pt>
                      <c:pt idx="6">
                        <c:v>22745225</c:v>
                      </c:pt>
                      <c:pt idx="7">
                        <c:v>4571050</c:v>
                      </c:pt>
                      <c:pt idx="8">
                        <c:v>9528250</c:v>
                      </c:pt>
                      <c:pt idx="9">
                        <c:v>552500</c:v>
                      </c:pt>
                      <c:pt idx="10">
                        <c:v>660775</c:v>
                      </c:pt>
                    </c:numCache>
                  </c:numRef>
                </c:val>
                <c:extLst xmlns:c15="http://schemas.microsoft.com/office/drawing/2012/chart">
                  <c:ext xmlns:c16="http://schemas.microsoft.com/office/drawing/2014/chart" uri="{C3380CC4-5D6E-409C-BE32-E72D297353CC}">
                    <c16:uniqueId val="{00000006-BCE7-4D4B-A097-06708F8946D8}"/>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OptionChain!$H$2</c15:sqref>
                        </c15:formulaRef>
                      </c:ext>
                    </c:extLst>
                    <c:strCache>
                      <c:ptCount val="1"/>
                      <c:pt idx="0">
                        <c:v>TIME</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OptionChain!$D$3:$D$14</c15:sqref>
                        </c15:formulaRef>
                      </c:ext>
                    </c:extLst>
                    <c:numCache>
                      <c:formatCode>General</c:formatCode>
                      <c:ptCount val="12"/>
                      <c:pt idx="0">
                        <c:v>23600</c:v>
                      </c:pt>
                      <c:pt idx="1">
                        <c:v>23650</c:v>
                      </c:pt>
                      <c:pt idx="2">
                        <c:v>23700</c:v>
                      </c:pt>
                      <c:pt idx="3">
                        <c:v>23750</c:v>
                      </c:pt>
                      <c:pt idx="4">
                        <c:v>23800</c:v>
                      </c:pt>
                      <c:pt idx="5">
                        <c:v>23850</c:v>
                      </c:pt>
                      <c:pt idx="6">
                        <c:v>23900</c:v>
                      </c:pt>
                      <c:pt idx="7">
                        <c:v>23950</c:v>
                      </c:pt>
                      <c:pt idx="8">
                        <c:v>24000</c:v>
                      </c:pt>
                      <c:pt idx="9">
                        <c:v>24050</c:v>
                      </c:pt>
                      <c:pt idx="10">
                        <c:v>24100</c:v>
                      </c:pt>
                    </c:numCache>
                  </c:numRef>
                </c:cat>
                <c:val>
                  <c:numRef>
                    <c:extLst xmlns:c15="http://schemas.microsoft.com/office/drawing/2012/chart">
                      <c:ext xmlns:c15="http://schemas.microsoft.com/office/drawing/2012/chart" uri="{02D57815-91ED-43cb-92C2-25804820EDAC}">
                        <c15:formulaRef>
                          <c15:sqref>OptionChain!$H$3:$H$13</c15:sqref>
                        </c15:formulaRef>
                      </c:ext>
                    </c:extLst>
                    <c:numCache>
                      <c:formatCode>[$-14009]hh:mm;@</c:formatCode>
                      <c:ptCount val="11"/>
                      <c:pt idx="0">
                        <c:v>45469.57169409722</c:v>
                      </c:pt>
                      <c:pt idx="1">
                        <c:v>45469.57169409722</c:v>
                      </c:pt>
                      <c:pt idx="2">
                        <c:v>45469.57169409722</c:v>
                      </c:pt>
                      <c:pt idx="3">
                        <c:v>45469.57169409722</c:v>
                      </c:pt>
                      <c:pt idx="4">
                        <c:v>45469.57169409722</c:v>
                      </c:pt>
                      <c:pt idx="5">
                        <c:v>45469.57169409722</c:v>
                      </c:pt>
                      <c:pt idx="6">
                        <c:v>45469.57169409722</c:v>
                      </c:pt>
                      <c:pt idx="7">
                        <c:v>45469.57169409722</c:v>
                      </c:pt>
                      <c:pt idx="8">
                        <c:v>45469.57169409722</c:v>
                      </c:pt>
                      <c:pt idx="9">
                        <c:v>45469.57169409722</c:v>
                      </c:pt>
                      <c:pt idx="10">
                        <c:v>45469.57169409722</c:v>
                      </c:pt>
                    </c:numCache>
                  </c:numRef>
                </c:val>
                <c:extLst xmlns:c15="http://schemas.microsoft.com/office/drawing/2012/chart">
                  <c:ext xmlns:c16="http://schemas.microsoft.com/office/drawing/2014/chart" uri="{C3380CC4-5D6E-409C-BE32-E72D297353CC}">
                    <c16:uniqueId val="{00000007-BCE7-4D4B-A097-06708F8946D8}"/>
                  </c:ext>
                </c:extLst>
              </c15:ser>
            </c15:filteredBarSeries>
          </c:ext>
        </c:extLst>
      </c:barChart>
      <c:catAx>
        <c:axId val="1879761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74623"/>
        <c:crosses val="autoZero"/>
        <c:auto val="1"/>
        <c:lblAlgn val="ctr"/>
        <c:lblOffset val="100"/>
        <c:noMultiLvlLbl val="0"/>
      </c:catAx>
      <c:valAx>
        <c:axId val="1879774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616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BANKEX</a:t>
            </a:r>
            <a:r>
              <a:rPr lang="en-IN" baseline="0"/>
              <a:t> OI</a:t>
            </a:r>
            <a:endParaRPr lang="en-IN"/>
          </a:p>
        </c:rich>
      </c:tx>
      <c:layout>
        <c:manualLayout>
          <c:xMode val="edge"/>
          <c:yMode val="edge"/>
          <c:x val="0.40393744531933506"/>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0"/>
          <c:tx>
            <c:strRef>
              <c:f>OptionChain!$AB$2</c:f>
              <c:strCache>
                <c:ptCount val="1"/>
                <c:pt idx="0">
                  <c:v>PE_OI</c:v>
                </c:pt>
              </c:strCache>
            </c:strRef>
          </c:tx>
          <c:spPr>
            <a:solidFill>
              <a:srgbClr val="00B050"/>
            </a:solidFill>
            <a:ln>
              <a:noFill/>
            </a:ln>
            <a:effectLst/>
          </c:spPr>
          <c:invertIfNegative val="0"/>
          <c:cat>
            <c:strRef>
              <c:extLst>
                <c:ext xmlns:c15="http://schemas.microsoft.com/office/drawing/2012/chart" uri="{02D57815-91ED-43cb-92C2-25804820EDAC}">
                  <c15:fullRef>
                    <c15:sqref>OptionChain!$Z$2:$Z$13</c15:sqref>
                  </c15:fullRef>
                </c:ext>
              </c:extLst>
              <c:f>OptionChain!$Z$3:$Z$13</c:f>
              <c:strCache>
                <c:ptCount val="11"/>
                <c:pt idx="0">
                  <c:v>54000</c:v>
                </c:pt>
                <c:pt idx="1">
                  <c:v>54100</c:v>
                </c:pt>
                <c:pt idx="2">
                  <c:v>54200</c:v>
                </c:pt>
                <c:pt idx="3">
                  <c:v>54300</c:v>
                </c:pt>
                <c:pt idx="4">
                  <c:v>54400</c:v>
                </c:pt>
                <c:pt idx="5">
                  <c:v>54500</c:v>
                </c:pt>
                <c:pt idx="6">
                  <c:v>54600</c:v>
                </c:pt>
                <c:pt idx="7">
                  <c:v>54700</c:v>
                </c:pt>
                <c:pt idx="8">
                  <c:v>54800</c:v>
                </c:pt>
                <c:pt idx="9">
                  <c:v>54900</c:v>
                </c:pt>
                <c:pt idx="10">
                  <c:v>55000</c:v>
                </c:pt>
              </c:strCache>
            </c:strRef>
          </c:cat>
          <c:val>
            <c:numRef>
              <c:extLst>
                <c:ext xmlns:c15="http://schemas.microsoft.com/office/drawing/2012/chart" uri="{02D57815-91ED-43cb-92C2-25804820EDAC}">
                  <c15:fullRef>
                    <c15:sqref>OptionChain!$AB$3:$AB$13</c15:sqref>
                  </c15:fullRef>
                </c:ext>
              </c:extLst>
              <c:f>OptionChain!$AB$4:$AB$13</c:f>
              <c:numCache>
                <c:formatCode>General</c:formatCode>
                <c:ptCount val="10"/>
                <c:pt idx="0">
                  <c:v>31432</c:v>
                </c:pt>
                <c:pt idx="1">
                  <c:v>48584</c:v>
                </c:pt>
                <c:pt idx="2">
                  <c:v>63859</c:v>
                </c:pt>
                <c:pt idx="3">
                  <c:v>91071</c:v>
                </c:pt>
                <c:pt idx="4">
                  <c:v>65915</c:v>
                </c:pt>
                <c:pt idx="5">
                  <c:v>16150</c:v>
                </c:pt>
                <c:pt idx="6">
                  <c:v>9094</c:v>
                </c:pt>
                <c:pt idx="7">
                  <c:v>2231</c:v>
                </c:pt>
                <c:pt idx="8">
                  <c:v>904</c:v>
                </c:pt>
                <c:pt idx="9">
                  <c:v>937</c:v>
                </c:pt>
              </c:numCache>
            </c:numRef>
          </c:val>
          <c:extLst>
            <c:ext xmlns:c16="http://schemas.microsoft.com/office/drawing/2014/chart" uri="{C3380CC4-5D6E-409C-BE32-E72D297353CC}">
              <c16:uniqueId val="{00000005-9F34-4219-A178-49CA02E0F34B}"/>
            </c:ext>
          </c:extLst>
        </c:ser>
        <c:ser>
          <c:idx val="1"/>
          <c:order val="1"/>
          <c:tx>
            <c:strRef>
              <c:f>OptionChain!$X$2</c:f>
              <c:strCache>
                <c:ptCount val="1"/>
                <c:pt idx="0">
                  <c:v>CE_OI</c:v>
                </c:pt>
              </c:strCache>
            </c:strRef>
          </c:tx>
          <c:spPr>
            <a:solidFill>
              <a:srgbClr val="EA2C0C"/>
            </a:solidFill>
            <a:ln>
              <a:noFill/>
            </a:ln>
            <a:effectLst/>
          </c:spPr>
          <c:invertIfNegative val="0"/>
          <c:cat>
            <c:strRef>
              <c:extLst>
                <c:ext xmlns:c15="http://schemas.microsoft.com/office/drawing/2012/chart" uri="{02D57815-91ED-43cb-92C2-25804820EDAC}">
                  <c15:fullRef>
                    <c15:sqref>OptionChain!$Z$2:$Z$13</c15:sqref>
                  </c15:fullRef>
                </c:ext>
              </c:extLst>
              <c:f>OptionChain!$Z$3:$Z$13</c:f>
              <c:strCache>
                <c:ptCount val="11"/>
                <c:pt idx="0">
                  <c:v>54000</c:v>
                </c:pt>
                <c:pt idx="1">
                  <c:v>54100</c:v>
                </c:pt>
                <c:pt idx="2">
                  <c:v>54200</c:v>
                </c:pt>
                <c:pt idx="3">
                  <c:v>54300</c:v>
                </c:pt>
                <c:pt idx="4">
                  <c:v>54400</c:v>
                </c:pt>
                <c:pt idx="5">
                  <c:v>54500</c:v>
                </c:pt>
                <c:pt idx="6">
                  <c:v>54600</c:v>
                </c:pt>
                <c:pt idx="7">
                  <c:v>54700</c:v>
                </c:pt>
                <c:pt idx="8">
                  <c:v>54800</c:v>
                </c:pt>
                <c:pt idx="9">
                  <c:v>54900</c:v>
                </c:pt>
                <c:pt idx="10">
                  <c:v>55000</c:v>
                </c:pt>
              </c:strCache>
            </c:strRef>
          </c:cat>
          <c:val>
            <c:numRef>
              <c:extLst>
                <c:ext xmlns:c15="http://schemas.microsoft.com/office/drawing/2012/chart" uri="{02D57815-91ED-43cb-92C2-25804820EDAC}">
                  <c15:fullRef>
                    <c15:sqref>OptionChain!$X$3:$X$13</c15:sqref>
                  </c15:fullRef>
                </c:ext>
              </c:extLst>
              <c:f>OptionChain!$X$4:$X$13</c:f>
              <c:numCache>
                <c:formatCode>General</c:formatCode>
                <c:ptCount val="10"/>
                <c:pt idx="0">
                  <c:v>18617</c:v>
                </c:pt>
                <c:pt idx="1">
                  <c:v>18481</c:v>
                </c:pt>
                <c:pt idx="2">
                  <c:v>11126</c:v>
                </c:pt>
                <c:pt idx="3">
                  <c:v>45743</c:v>
                </c:pt>
                <c:pt idx="4">
                  <c:v>113682</c:v>
                </c:pt>
                <c:pt idx="5">
                  <c:v>74763</c:v>
                </c:pt>
                <c:pt idx="6">
                  <c:v>48866</c:v>
                </c:pt>
                <c:pt idx="7">
                  <c:v>30730</c:v>
                </c:pt>
                <c:pt idx="8">
                  <c:v>23285</c:v>
                </c:pt>
                <c:pt idx="9">
                  <c:v>46408</c:v>
                </c:pt>
              </c:numCache>
            </c:numRef>
          </c:val>
          <c:extLst>
            <c:ext xmlns:c16="http://schemas.microsoft.com/office/drawing/2014/chart" uri="{C3380CC4-5D6E-409C-BE32-E72D297353CC}">
              <c16:uniqueId val="{00000001-9F34-4219-A178-49CA02E0F34B}"/>
            </c:ext>
          </c:extLst>
        </c:ser>
        <c:dLbls>
          <c:showLegendKey val="0"/>
          <c:showVal val="0"/>
          <c:showCatName val="0"/>
          <c:showSerName val="0"/>
          <c:showPercent val="0"/>
          <c:showBubbleSize val="0"/>
        </c:dLbls>
        <c:gapWidth val="219"/>
        <c:overlap val="-27"/>
        <c:axId val="1741978543"/>
        <c:axId val="1741983343"/>
      </c:barChart>
      <c:catAx>
        <c:axId val="1741978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83343"/>
        <c:crosses val="autoZero"/>
        <c:auto val="1"/>
        <c:lblAlgn val="ctr"/>
        <c:lblOffset val="100"/>
        <c:noMultiLvlLbl val="0"/>
      </c:catAx>
      <c:valAx>
        <c:axId val="174198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785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BANKEX</a:t>
            </a:r>
            <a:r>
              <a:rPr lang="en-IN" baseline="0"/>
              <a:t> COI</a:t>
            </a:r>
            <a:endParaRPr lang="en-IN"/>
          </a:p>
        </c:rich>
      </c:tx>
      <c:layout>
        <c:manualLayout>
          <c:xMode val="edge"/>
          <c:yMode val="edge"/>
          <c:x val="0.40393744531933506"/>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3"/>
          <c:order val="0"/>
          <c:tx>
            <c:strRef>
              <c:f>OptionChain!$AA$2</c:f>
              <c:strCache>
                <c:ptCount val="1"/>
                <c:pt idx="0">
                  <c:v>PE_COI</c:v>
                </c:pt>
              </c:strCache>
            </c:strRef>
          </c:tx>
          <c:spPr>
            <a:solidFill>
              <a:srgbClr val="0CC02E"/>
            </a:solidFill>
            <a:ln>
              <a:noFill/>
            </a:ln>
            <a:effectLst/>
          </c:spPr>
          <c:invertIfNegative val="0"/>
          <c:cat>
            <c:strRef>
              <c:extLst>
                <c:ext xmlns:c15="http://schemas.microsoft.com/office/drawing/2012/chart" uri="{02D57815-91ED-43cb-92C2-25804820EDAC}">
                  <c15:fullRef>
                    <c15:sqref>OptionChain!$Z$2:$Z$13</c15:sqref>
                  </c15:fullRef>
                </c:ext>
              </c:extLst>
              <c:f>OptionChain!$Z$3:$Z$13</c:f>
              <c:strCache>
                <c:ptCount val="11"/>
                <c:pt idx="0">
                  <c:v>54000</c:v>
                </c:pt>
                <c:pt idx="1">
                  <c:v>54100</c:v>
                </c:pt>
                <c:pt idx="2">
                  <c:v>54200</c:v>
                </c:pt>
                <c:pt idx="3">
                  <c:v>54300</c:v>
                </c:pt>
                <c:pt idx="4">
                  <c:v>54400</c:v>
                </c:pt>
                <c:pt idx="5">
                  <c:v>54500</c:v>
                </c:pt>
                <c:pt idx="6">
                  <c:v>54600</c:v>
                </c:pt>
                <c:pt idx="7">
                  <c:v>54700</c:v>
                </c:pt>
                <c:pt idx="8">
                  <c:v>54800</c:v>
                </c:pt>
                <c:pt idx="9">
                  <c:v>54900</c:v>
                </c:pt>
                <c:pt idx="10">
                  <c:v>55000</c:v>
                </c:pt>
              </c:strCache>
            </c:strRef>
          </c:cat>
          <c:val>
            <c:numRef>
              <c:extLst>
                <c:ext xmlns:c15="http://schemas.microsoft.com/office/drawing/2012/chart" uri="{02D57815-91ED-43cb-92C2-25804820EDAC}">
                  <c15:fullRef>
                    <c15:sqref>OptionChain!$AA$3:$AA$13</c15:sqref>
                  </c15:fullRef>
                </c:ext>
              </c:extLst>
              <c:f>OptionChain!$AA$4:$AA$13</c:f>
              <c:numCache>
                <c:formatCode>General</c:formatCode>
                <c:ptCount val="10"/>
                <c:pt idx="0">
                  <c:v>30140</c:v>
                </c:pt>
                <c:pt idx="1">
                  <c:v>46770</c:v>
                </c:pt>
                <c:pt idx="2">
                  <c:v>62936</c:v>
                </c:pt>
                <c:pt idx="3">
                  <c:v>90658</c:v>
                </c:pt>
                <c:pt idx="4">
                  <c:v>63983</c:v>
                </c:pt>
                <c:pt idx="5">
                  <c:v>15830</c:v>
                </c:pt>
                <c:pt idx="6">
                  <c:v>8586</c:v>
                </c:pt>
                <c:pt idx="7">
                  <c:v>0</c:v>
                </c:pt>
                <c:pt idx="8">
                  <c:v>0</c:v>
                </c:pt>
                <c:pt idx="9">
                  <c:v>0</c:v>
                </c:pt>
              </c:numCache>
            </c:numRef>
          </c:val>
          <c:extLst>
            <c:ext xmlns:c16="http://schemas.microsoft.com/office/drawing/2014/chart" uri="{C3380CC4-5D6E-409C-BE32-E72D297353CC}">
              <c16:uniqueId val="{00000004-51ED-4B5B-9522-52BC8C0BF684}"/>
            </c:ext>
          </c:extLst>
        </c:ser>
        <c:ser>
          <c:idx val="0"/>
          <c:order val="1"/>
          <c:tx>
            <c:strRef>
              <c:f>OptionChain!$Y$2</c:f>
              <c:strCache>
                <c:ptCount val="1"/>
                <c:pt idx="0">
                  <c:v>CE_COI</c:v>
                </c:pt>
              </c:strCache>
            </c:strRef>
          </c:tx>
          <c:spPr>
            <a:solidFill>
              <a:srgbClr val="EA2C0C"/>
            </a:solidFill>
            <a:ln>
              <a:noFill/>
            </a:ln>
            <a:effectLst/>
          </c:spPr>
          <c:invertIfNegative val="0"/>
          <c:cat>
            <c:strRef>
              <c:extLst>
                <c:ext xmlns:c15="http://schemas.microsoft.com/office/drawing/2012/chart" uri="{02D57815-91ED-43cb-92C2-25804820EDAC}">
                  <c15:fullRef>
                    <c15:sqref>OptionChain!$Z$2:$Z$13</c15:sqref>
                  </c15:fullRef>
                </c:ext>
              </c:extLst>
              <c:f>OptionChain!$Z$3:$Z$13</c:f>
              <c:strCache>
                <c:ptCount val="11"/>
                <c:pt idx="0">
                  <c:v>54000</c:v>
                </c:pt>
                <c:pt idx="1">
                  <c:v>54100</c:v>
                </c:pt>
                <c:pt idx="2">
                  <c:v>54200</c:v>
                </c:pt>
                <c:pt idx="3">
                  <c:v>54300</c:v>
                </c:pt>
                <c:pt idx="4">
                  <c:v>54400</c:v>
                </c:pt>
                <c:pt idx="5">
                  <c:v>54500</c:v>
                </c:pt>
                <c:pt idx="6">
                  <c:v>54600</c:v>
                </c:pt>
                <c:pt idx="7">
                  <c:v>54700</c:v>
                </c:pt>
                <c:pt idx="8">
                  <c:v>54800</c:v>
                </c:pt>
                <c:pt idx="9">
                  <c:v>54900</c:v>
                </c:pt>
                <c:pt idx="10">
                  <c:v>55000</c:v>
                </c:pt>
              </c:strCache>
            </c:strRef>
          </c:cat>
          <c:val>
            <c:numRef>
              <c:extLst>
                <c:ext xmlns:c15="http://schemas.microsoft.com/office/drawing/2012/chart" uri="{02D57815-91ED-43cb-92C2-25804820EDAC}">
                  <c15:fullRef>
                    <c15:sqref>OptionChain!$Y$3:$Y$13</c15:sqref>
                  </c15:fullRef>
                </c:ext>
              </c:extLst>
              <c:f>OptionChain!$Y$4:$Y$13</c:f>
              <c:numCache>
                <c:formatCode>General</c:formatCode>
                <c:ptCount val="10"/>
                <c:pt idx="0">
                  <c:v>17800</c:v>
                </c:pt>
                <c:pt idx="1">
                  <c:v>16101</c:v>
                </c:pt>
                <c:pt idx="2">
                  <c:v>9527</c:v>
                </c:pt>
                <c:pt idx="3">
                  <c:v>43537</c:v>
                </c:pt>
                <c:pt idx="4">
                  <c:v>107099</c:v>
                </c:pt>
                <c:pt idx="5">
                  <c:v>69607</c:v>
                </c:pt>
                <c:pt idx="6">
                  <c:v>40436</c:v>
                </c:pt>
                <c:pt idx="7">
                  <c:v>0</c:v>
                </c:pt>
                <c:pt idx="8">
                  <c:v>0</c:v>
                </c:pt>
                <c:pt idx="9">
                  <c:v>0</c:v>
                </c:pt>
              </c:numCache>
            </c:numRef>
          </c:val>
          <c:extLst>
            <c:ext xmlns:c16="http://schemas.microsoft.com/office/drawing/2014/chart" uri="{C3380CC4-5D6E-409C-BE32-E72D297353CC}">
              <c16:uniqueId val="{00000002-51ED-4B5B-9522-52BC8C0BF684}"/>
            </c:ext>
          </c:extLst>
        </c:ser>
        <c:dLbls>
          <c:showLegendKey val="0"/>
          <c:showVal val="0"/>
          <c:showCatName val="0"/>
          <c:showSerName val="0"/>
          <c:showPercent val="0"/>
          <c:showBubbleSize val="0"/>
        </c:dLbls>
        <c:gapWidth val="219"/>
        <c:overlap val="-27"/>
        <c:axId val="1741978543"/>
        <c:axId val="1741983343"/>
      </c:barChart>
      <c:catAx>
        <c:axId val="1741978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83343"/>
        <c:crosses val="autoZero"/>
        <c:auto val="1"/>
        <c:lblAlgn val="ctr"/>
        <c:lblOffset val="100"/>
        <c:noMultiLvlLbl val="0"/>
      </c:catAx>
      <c:valAx>
        <c:axId val="174198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785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BN OI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OptionChain!$Q$2</c:f>
              <c:strCache>
                <c:ptCount val="1"/>
                <c:pt idx="0">
                  <c:v>PE_OI</c:v>
                </c:pt>
              </c:strCache>
            </c:strRef>
          </c:tx>
          <c:spPr>
            <a:solidFill>
              <a:srgbClr val="0CC02E"/>
            </a:solidFill>
            <a:ln>
              <a:noFill/>
            </a:ln>
            <a:effectLst/>
          </c:spPr>
          <c:invertIfNegative val="0"/>
          <c:cat>
            <c:numRef>
              <c:f>OptionChain!$O$3:$O$13</c:f>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f>OptionChain!$Q$3:$Q$13</c:f>
              <c:numCache>
                <c:formatCode>General</c:formatCode>
                <c:ptCount val="11"/>
                <c:pt idx="0">
                  <c:v>3576770</c:v>
                </c:pt>
                <c:pt idx="1">
                  <c:v>4656860</c:v>
                </c:pt>
                <c:pt idx="2">
                  <c:v>3087755</c:v>
                </c:pt>
                <c:pt idx="3">
                  <c:v>4644525</c:v>
                </c:pt>
                <c:pt idx="4">
                  <c:v>5038050</c:v>
                </c:pt>
                <c:pt idx="5">
                  <c:v>5503890</c:v>
                </c:pt>
                <c:pt idx="6">
                  <c:v>2568975</c:v>
                </c:pt>
                <c:pt idx="7">
                  <c:v>499350</c:v>
                </c:pt>
                <c:pt idx="8">
                  <c:v>288510</c:v>
                </c:pt>
                <c:pt idx="9">
                  <c:v>107835</c:v>
                </c:pt>
                <c:pt idx="10">
                  <c:v>70485</c:v>
                </c:pt>
              </c:numCache>
            </c:numRef>
          </c:val>
          <c:extLst xmlns:c15="http://schemas.microsoft.com/office/drawing/2012/chart">
            <c:ext xmlns:c16="http://schemas.microsoft.com/office/drawing/2014/chart" uri="{C3380CC4-5D6E-409C-BE32-E72D297353CC}">
              <c16:uniqueId val="{00000005-C8B3-41C1-A9CD-C973AE5E0BE5}"/>
            </c:ext>
          </c:extLst>
        </c:ser>
        <c:ser>
          <c:idx val="0"/>
          <c:order val="2"/>
          <c:tx>
            <c:strRef>
              <c:f>OptionChain!$M$2</c:f>
              <c:strCache>
                <c:ptCount val="1"/>
                <c:pt idx="0">
                  <c:v>CE_OI</c:v>
                </c:pt>
              </c:strCache>
            </c:strRef>
          </c:tx>
          <c:spPr>
            <a:solidFill>
              <a:srgbClr val="EA2C0C"/>
            </a:solidFill>
            <a:ln>
              <a:noFill/>
            </a:ln>
            <a:effectLst/>
          </c:spPr>
          <c:invertIfNegative val="0"/>
          <c:cat>
            <c:numRef>
              <c:f>OptionChain!$O$3:$O$13</c:f>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f>OptionChain!$M$3:$M$13</c:f>
              <c:numCache>
                <c:formatCode>General</c:formatCode>
                <c:ptCount val="11"/>
                <c:pt idx="0">
                  <c:v>1812045</c:v>
                </c:pt>
                <c:pt idx="1">
                  <c:v>2580000</c:v>
                </c:pt>
                <c:pt idx="2">
                  <c:v>1456425</c:v>
                </c:pt>
                <c:pt idx="3">
                  <c:v>2257455</c:v>
                </c:pt>
                <c:pt idx="4">
                  <c:v>3252570</c:v>
                </c:pt>
                <c:pt idx="5">
                  <c:v>5157690</c:v>
                </c:pt>
                <c:pt idx="6">
                  <c:v>8001525</c:v>
                </c:pt>
                <c:pt idx="7">
                  <c:v>3760800</c:v>
                </c:pt>
                <c:pt idx="8">
                  <c:v>4136220</c:v>
                </c:pt>
                <c:pt idx="9">
                  <c:v>3472755</c:v>
                </c:pt>
                <c:pt idx="10">
                  <c:v>3021450</c:v>
                </c:pt>
              </c:numCache>
            </c:numRef>
          </c:val>
          <c:extLst xmlns:c15="http://schemas.microsoft.com/office/drawing/2012/chart">
            <c:ext xmlns:c16="http://schemas.microsoft.com/office/drawing/2014/chart" uri="{C3380CC4-5D6E-409C-BE32-E72D297353CC}">
              <c16:uniqueId val="{00000002-C8B3-41C1-A9CD-C973AE5E0BE5}"/>
            </c:ext>
          </c:extLst>
        </c:ser>
        <c:dLbls>
          <c:showLegendKey val="0"/>
          <c:showVal val="0"/>
          <c:showCatName val="0"/>
          <c:showSerName val="0"/>
          <c:showPercent val="0"/>
          <c:showBubbleSize val="0"/>
        </c:dLbls>
        <c:gapWidth val="219"/>
        <c:overlap val="-27"/>
        <c:axId val="361659535"/>
        <c:axId val="361660975"/>
        <c:extLst>
          <c:ext xmlns:c15="http://schemas.microsoft.com/office/drawing/2012/chart" uri="{02D57815-91ED-43cb-92C2-25804820EDAC}">
            <c15:filteredBarSeries>
              <c15:ser>
                <c:idx val="5"/>
                <c:order val="0"/>
                <c:tx>
                  <c:strRef>
                    <c:extLst>
                      <c:ext uri="{02D57815-91ED-43cb-92C2-25804820EDAC}">
                        <c15:formulaRef>
                          <c15:sqref>OptionChain!$L$2</c15:sqref>
                        </c15:formulaRef>
                      </c:ext>
                    </c:extLst>
                    <c:strCache>
                      <c:ptCount val="1"/>
                      <c:pt idx="0">
                        <c:v>CE_VOL</c:v>
                      </c:pt>
                    </c:strCache>
                  </c:strRef>
                </c:tx>
                <c:spPr>
                  <a:solidFill>
                    <a:schemeClr val="accent6"/>
                  </a:solidFill>
                  <a:ln>
                    <a:noFill/>
                  </a:ln>
                  <a:effectLst/>
                </c:spPr>
                <c:invertIfNegative val="0"/>
                <c:cat>
                  <c:numRef>
                    <c:extLst>
                      <c:ex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c:ext uri="{02D57815-91ED-43cb-92C2-25804820EDAC}">
                        <c15:formulaRef>
                          <c15:sqref>OptionChain!$L$3:$L$13</c15:sqref>
                        </c15:formulaRef>
                      </c:ext>
                    </c:extLst>
                    <c:numCache>
                      <c:formatCode>General</c:formatCode>
                      <c:ptCount val="11"/>
                      <c:pt idx="0">
                        <c:v>64395585</c:v>
                      </c:pt>
                      <c:pt idx="1">
                        <c:v>138360405</c:v>
                      </c:pt>
                      <c:pt idx="2">
                        <c:v>132832245</c:v>
                      </c:pt>
                      <c:pt idx="3">
                        <c:v>140650095</c:v>
                      </c:pt>
                      <c:pt idx="4">
                        <c:v>169932465</c:v>
                      </c:pt>
                      <c:pt idx="5">
                        <c:v>180663360</c:v>
                      </c:pt>
                      <c:pt idx="6">
                        <c:v>281709390</c:v>
                      </c:pt>
                      <c:pt idx="7">
                        <c:v>129941415</c:v>
                      </c:pt>
                      <c:pt idx="8">
                        <c:v>135682935</c:v>
                      </c:pt>
                      <c:pt idx="9">
                        <c:v>113088135</c:v>
                      </c:pt>
                      <c:pt idx="10">
                        <c:v>104384760</c:v>
                      </c:pt>
                    </c:numCache>
                  </c:numRef>
                </c:val>
                <c:extLst>
                  <c:ext xmlns:c16="http://schemas.microsoft.com/office/drawing/2014/chart" uri="{C3380CC4-5D6E-409C-BE32-E72D297353CC}">
                    <c16:uniqueId val="{00000000-C8B3-41C1-A9CD-C973AE5E0BE5}"/>
                  </c:ext>
                </c:extLst>
              </c15:ser>
            </c15:filteredBarSeries>
            <c15:filteredBarSeries>
              <c15:ser>
                <c:idx val="1"/>
                <c:order val="3"/>
                <c:tx>
                  <c:strRef>
                    <c:extLst xmlns:c15="http://schemas.microsoft.com/office/drawing/2012/chart">
                      <c:ext xmlns:c15="http://schemas.microsoft.com/office/drawing/2012/chart" uri="{02D57815-91ED-43cb-92C2-25804820EDAC}">
                        <c15:formulaRef>
                          <c15:sqref>OptionChain!$N$2</c15:sqref>
                        </c15:formulaRef>
                      </c:ext>
                    </c:extLst>
                    <c:strCache>
                      <c:ptCount val="1"/>
                      <c:pt idx="0">
                        <c:v>CE_COI</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xmlns:c15="http://schemas.microsoft.com/office/drawing/2012/chart">
                      <c:ext xmlns:c15="http://schemas.microsoft.com/office/drawing/2012/chart" uri="{02D57815-91ED-43cb-92C2-25804820EDAC}">
                        <c15:formulaRef>
                          <c15:sqref>OptionChain!$N$3:$N$13</c15:sqref>
                        </c15:formulaRef>
                      </c:ext>
                    </c:extLst>
                    <c:numCache>
                      <c:formatCode>General</c:formatCode>
                      <c:ptCount val="11"/>
                      <c:pt idx="0">
                        <c:v>1002150</c:v>
                      </c:pt>
                      <c:pt idx="1">
                        <c:v>865340</c:v>
                      </c:pt>
                      <c:pt idx="2">
                        <c:v>371365</c:v>
                      </c:pt>
                      <c:pt idx="3">
                        <c:v>946855</c:v>
                      </c:pt>
                      <c:pt idx="4">
                        <c:v>2182680</c:v>
                      </c:pt>
                      <c:pt idx="5">
                        <c:v>4574430</c:v>
                      </c:pt>
                      <c:pt idx="6">
                        <c:v>5204125</c:v>
                      </c:pt>
                      <c:pt idx="7">
                        <c:v>3035115</c:v>
                      </c:pt>
                      <c:pt idx="8">
                        <c:v>2976620</c:v>
                      </c:pt>
                      <c:pt idx="9">
                        <c:v>2758215</c:v>
                      </c:pt>
                      <c:pt idx="10">
                        <c:v>2424735</c:v>
                      </c:pt>
                    </c:numCache>
                  </c:numRef>
                </c:val>
                <c:extLst xmlns:c15="http://schemas.microsoft.com/office/drawing/2012/chart">
                  <c:ext xmlns:c16="http://schemas.microsoft.com/office/drawing/2014/chart" uri="{C3380CC4-5D6E-409C-BE32-E72D297353CC}">
                    <c16:uniqueId val="{00000001-C8B3-41C1-A9CD-C973AE5E0BE5}"/>
                  </c:ext>
                </c:extLst>
              </c15:ser>
            </c15:filteredBarSeries>
            <c15:filteredBarSeries>
              <c15:ser>
                <c:idx val="2"/>
                <c:order val="4"/>
                <c:tx>
                  <c:strRef>
                    <c:extLst xmlns:c15="http://schemas.microsoft.com/office/drawing/2012/chart">
                      <c:ext xmlns:c15="http://schemas.microsoft.com/office/drawing/2012/chart" uri="{02D57815-91ED-43cb-92C2-25804820EDAC}">
                        <c15:formulaRef>
                          <c15:sqref>OptionChain!$O$2</c15:sqref>
                        </c15:formulaRef>
                      </c:ext>
                    </c:extLst>
                    <c:strCache>
                      <c:ptCount val="1"/>
                      <c:pt idx="0">
                        <c:v>StrikePrice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val>
                <c:extLst xmlns:c15="http://schemas.microsoft.com/office/drawing/2012/chart">
                  <c:ext xmlns:c16="http://schemas.microsoft.com/office/drawing/2014/chart" uri="{C3380CC4-5D6E-409C-BE32-E72D297353CC}">
                    <c16:uniqueId val="{00000003-C8B3-41C1-A9CD-C973AE5E0BE5}"/>
                  </c:ext>
                </c:extLst>
              </c15:ser>
            </c15:filteredBarSeries>
            <c15:filteredBarSeries>
              <c15:ser>
                <c:idx val="3"/>
                <c:order val="5"/>
                <c:tx>
                  <c:strRef>
                    <c:extLst xmlns:c15="http://schemas.microsoft.com/office/drawing/2012/chart">
                      <c:ext xmlns:c15="http://schemas.microsoft.com/office/drawing/2012/chart" uri="{02D57815-91ED-43cb-92C2-25804820EDAC}">
                        <c15:formulaRef>
                          <c15:sqref>OptionChain!$P$2</c15:sqref>
                        </c15:formulaRef>
                      </c:ext>
                    </c:extLst>
                    <c:strCache>
                      <c:ptCount val="1"/>
                      <c:pt idx="0">
                        <c:v>PE_COI</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xmlns:c15="http://schemas.microsoft.com/office/drawing/2012/chart">
                      <c:ext xmlns:c15="http://schemas.microsoft.com/office/drawing/2012/chart" uri="{02D57815-91ED-43cb-92C2-25804820EDAC}">
                        <c15:formulaRef>
                          <c15:sqref>OptionChain!$P$3:$P$13</c15:sqref>
                        </c15:formulaRef>
                      </c:ext>
                    </c:extLst>
                    <c:numCache>
                      <c:formatCode>General</c:formatCode>
                      <c:ptCount val="11"/>
                      <c:pt idx="0">
                        <c:v>4774410</c:v>
                      </c:pt>
                      <c:pt idx="1">
                        <c:v>6722760</c:v>
                      </c:pt>
                      <c:pt idx="2">
                        <c:v>4163655</c:v>
                      </c:pt>
                      <c:pt idx="3">
                        <c:v>5202285</c:v>
                      </c:pt>
                      <c:pt idx="4">
                        <c:v>5313705</c:v>
                      </c:pt>
                      <c:pt idx="5">
                        <c:v>5628525</c:v>
                      </c:pt>
                      <c:pt idx="6">
                        <c:v>2882895</c:v>
                      </c:pt>
                      <c:pt idx="7">
                        <c:v>538575</c:v>
                      </c:pt>
                      <c:pt idx="8">
                        <c:v>308730</c:v>
                      </c:pt>
                      <c:pt idx="9">
                        <c:v>114255</c:v>
                      </c:pt>
                      <c:pt idx="10">
                        <c:v>81135</c:v>
                      </c:pt>
                    </c:numCache>
                  </c:numRef>
                </c:val>
                <c:extLst xmlns:c15="http://schemas.microsoft.com/office/drawing/2012/chart">
                  <c:ext xmlns:c16="http://schemas.microsoft.com/office/drawing/2014/chart" uri="{C3380CC4-5D6E-409C-BE32-E72D297353CC}">
                    <c16:uniqueId val="{00000004-C8B3-41C1-A9CD-C973AE5E0BE5}"/>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OptionChain!$R$2</c15:sqref>
                        </c15:formulaRef>
                      </c:ext>
                    </c:extLst>
                    <c:strCache>
                      <c:ptCount val="1"/>
                      <c:pt idx="0">
                        <c:v>PE_VOL</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xmlns:c15="http://schemas.microsoft.com/office/drawing/2012/chart">
                      <c:ext xmlns:c15="http://schemas.microsoft.com/office/drawing/2012/chart" uri="{02D57815-91ED-43cb-92C2-25804820EDAC}">
                        <c15:formulaRef>
                          <c15:sqref>OptionChain!$R$3:$R$13</c15:sqref>
                        </c15:formulaRef>
                      </c:ext>
                    </c:extLst>
                    <c:numCache>
                      <c:formatCode>General</c:formatCode>
                      <c:ptCount val="11"/>
                      <c:pt idx="0">
                        <c:v>150395040</c:v>
                      </c:pt>
                      <c:pt idx="1">
                        <c:v>214709250</c:v>
                      </c:pt>
                      <c:pt idx="2">
                        <c:v>153958845</c:v>
                      </c:pt>
                      <c:pt idx="3">
                        <c:v>132985290</c:v>
                      </c:pt>
                      <c:pt idx="4">
                        <c:v>130461390</c:v>
                      </c:pt>
                      <c:pt idx="5">
                        <c:v>91073415</c:v>
                      </c:pt>
                      <c:pt idx="6">
                        <c:v>59092980</c:v>
                      </c:pt>
                      <c:pt idx="7">
                        <c:v>12367275</c:v>
                      </c:pt>
                      <c:pt idx="8">
                        <c:v>7010310</c:v>
                      </c:pt>
                      <c:pt idx="9">
                        <c:v>1906245</c:v>
                      </c:pt>
                      <c:pt idx="10">
                        <c:v>818085</c:v>
                      </c:pt>
                    </c:numCache>
                  </c:numRef>
                </c:val>
                <c:extLst xmlns:c15="http://schemas.microsoft.com/office/drawing/2012/chart">
                  <c:ext xmlns:c16="http://schemas.microsoft.com/office/drawing/2014/chart" uri="{C3380CC4-5D6E-409C-BE32-E72D297353CC}">
                    <c16:uniqueId val="{00000006-C8B3-41C1-A9CD-C973AE5E0BE5}"/>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OptionChain!$S$2</c15:sqref>
                        </c15:formulaRef>
                      </c:ext>
                    </c:extLst>
                    <c:strCache>
                      <c:ptCount val="1"/>
                      <c:pt idx="0">
                        <c:v>TIME</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xmlns:c15="http://schemas.microsoft.com/office/drawing/2012/chart">
                      <c:ext xmlns:c15="http://schemas.microsoft.com/office/drawing/2012/chart" uri="{02D57815-91ED-43cb-92C2-25804820EDAC}">
                        <c15:formulaRef>
                          <c15:sqref>OptionChain!$S$3:$S$13</c15:sqref>
                        </c15:formulaRef>
                      </c:ext>
                    </c:extLst>
                    <c:numCache>
                      <c:formatCode>[$-14009]hh:mm;@</c:formatCode>
                      <c:ptCount val="11"/>
                      <c:pt idx="0">
                        <c:v>45469.57169409722</c:v>
                      </c:pt>
                      <c:pt idx="1">
                        <c:v>45469.57169409722</c:v>
                      </c:pt>
                      <c:pt idx="2">
                        <c:v>45469.57169409722</c:v>
                      </c:pt>
                      <c:pt idx="3">
                        <c:v>45469.57169409722</c:v>
                      </c:pt>
                      <c:pt idx="4">
                        <c:v>45469.57169409722</c:v>
                      </c:pt>
                      <c:pt idx="5">
                        <c:v>45469.57169409722</c:v>
                      </c:pt>
                      <c:pt idx="6">
                        <c:v>45469.57169409722</c:v>
                      </c:pt>
                      <c:pt idx="7">
                        <c:v>45469.57169409722</c:v>
                      </c:pt>
                      <c:pt idx="8">
                        <c:v>45469.57169409722</c:v>
                      </c:pt>
                      <c:pt idx="9">
                        <c:v>45469.57169409722</c:v>
                      </c:pt>
                      <c:pt idx="10">
                        <c:v>45469.57169409722</c:v>
                      </c:pt>
                    </c:numCache>
                  </c:numRef>
                </c:val>
                <c:extLst xmlns:c15="http://schemas.microsoft.com/office/drawing/2012/chart">
                  <c:ext xmlns:c16="http://schemas.microsoft.com/office/drawing/2014/chart" uri="{C3380CC4-5D6E-409C-BE32-E72D297353CC}">
                    <c16:uniqueId val="{00000007-C8B3-41C1-A9CD-C973AE5E0BE5}"/>
                  </c:ext>
                </c:extLst>
              </c15:ser>
            </c15:filteredBarSeries>
          </c:ext>
        </c:extLst>
      </c:barChart>
      <c:catAx>
        <c:axId val="361659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660975"/>
        <c:crosses val="autoZero"/>
        <c:auto val="1"/>
        <c:lblAlgn val="ctr"/>
        <c:lblOffset val="100"/>
        <c:noMultiLvlLbl val="0"/>
      </c:catAx>
      <c:valAx>
        <c:axId val="361660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6595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BN COI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3"/>
          <c:order val="3"/>
          <c:tx>
            <c:strRef>
              <c:f>OptionChain!$P$2</c:f>
              <c:strCache>
                <c:ptCount val="1"/>
                <c:pt idx="0">
                  <c:v>PE_COI</c:v>
                </c:pt>
              </c:strCache>
              <c:extLst xmlns:c15="http://schemas.microsoft.com/office/drawing/2012/chart"/>
            </c:strRef>
          </c:tx>
          <c:spPr>
            <a:solidFill>
              <a:srgbClr val="0CC02E"/>
            </a:solidFill>
            <a:ln>
              <a:noFill/>
            </a:ln>
            <a:effectLst/>
          </c:spPr>
          <c:invertIfNegative val="0"/>
          <c:cat>
            <c:numRef>
              <c:f>OptionChain!$O$3:$O$13</c:f>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extLst xmlns:c15="http://schemas.microsoft.com/office/drawing/2012/chart"/>
            </c:numRef>
          </c:cat>
          <c:val>
            <c:numRef>
              <c:f>OptionChain!$P$3:$P$13</c:f>
              <c:numCache>
                <c:formatCode>General</c:formatCode>
                <c:ptCount val="11"/>
                <c:pt idx="0">
                  <c:v>4774410</c:v>
                </c:pt>
                <c:pt idx="1">
                  <c:v>6722760</c:v>
                </c:pt>
                <c:pt idx="2">
                  <c:v>4163655</c:v>
                </c:pt>
                <c:pt idx="3">
                  <c:v>5202285</c:v>
                </c:pt>
                <c:pt idx="4">
                  <c:v>5313705</c:v>
                </c:pt>
                <c:pt idx="5">
                  <c:v>5628525</c:v>
                </c:pt>
                <c:pt idx="6">
                  <c:v>2882895</c:v>
                </c:pt>
                <c:pt idx="7">
                  <c:v>538575</c:v>
                </c:pt>
                <c:pt idx="8">
                  <c:v>308730</c:v>
                </c:pt>
                <c:pt idx="9">
                  <c:v>114255</c:v>
                </c:pt>
                <c:pt idx="10">
                  <c:v>81135</c:v>
                </c:pt>
              </c:numCache>
              <c:extLst xmlns:c15="http://schemas.microsoft.com/office/drawing/2012/chart"/>
            </c:numRef>
          </c:val>
          <c:extLst xmlns:c15="http://schemas.microsoft.com/office/drawing/2012/chart">
            <c:ext xmlns:c16="http://schemas.microsoft.com/office/drawing/2014/chart" uri="{C3380CC4-5D6E-409C-BE32-E72D297353CC}">
              <c16:uniqueId val="{00000005-1A1C-4C13-B223-1AA0920162D2}"/>
            </c:ext>
          </c:extLst>
        </c:ser>
        <c:ser>
          <c:idx val="1"/>
          <c:order val="4"/>
          <c:tx>
            <c:strRef>
              <c:f>OptionChain!$N$2</c:f>
              <c:strCache>
                <c:ptCount val="1"/>
                <c:pt idx="0">
                  <c:v>CE_COI</c:v>
                </c:pt>
              </c:strCache>
              <c:extLst xmlns:c15="http://schemas.microsoft.com/office/drawing/2012/chart"/>
            </c:strRef>
          </c:tx>
          <c:spPr>
            <a:solidFill>
              <a:srgbClr val="EA2C0C"/>
            </a:solidFill>
            <a:ln>
              <a:noFill/>
            </a:ln>
            <a:effectLst/>
          </c:spPr>
          <c:invertIfNegative val="0"/>
          <c:cat>
            <c:numRef>
              <c:f>OptionChain!$O$3:$O$13</c:f>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extLst xmlns:c15="http://schemas.microsoft.com/office/drawing/2012/chart"/>
            </c:numRef>
          </c:cat>
          <c:val>
            <c:numRef>
              <c:f>OptionChain!$N$3:$N$13</c:f>
              <c:numCache>
                <c:formatCode>General</c:formatCode>
                <c:ptCount val="11"/>
                <c:pt idx="0">
                  <c:v>1002150</c:v>
                </c:pt>
                <c:pt idx="1">
                  <c:v>865340</c:v>
                </c:pt>
                <c:pt idx="2">
                  <c:v>371365</c:v>
                </c:pt>
                <c:pt idx="3">
                  <c:v>946855</c:v>
                </c:pt>
                <c:pt idx="4">
                  <c:v>2182680</c:v>
                </c:pt>
                <c:pt idx="5">
                  <c:v>4574430</c:v>
                </c:pt>
                <c:pt idx="6">
                  <c:v>5204125</c:v>
                </c:pt>
                <c:pt idx="7">
                  <c:v>3035115</c:v>
                </c:pt>
                <c:pt idx="8">
                  <c:v>2976620</c:v>
                </c:pt>
                <c:pt idx="9">
                  <c:v>2758215</c:v>
                </c:pt>
                <c:pt idx="10">
                  <c:v>2424735</c:v>
                </c:pt>
              </c:numCache>
              <c:extLst xmlns:c15="http://schemas.microsoft.com/office/drawing/2012/chart"/>
            </c:numRef>
          </c:val>
          <c:extLst xmlns:c15="http://schemas.microsoft.com/office/drawing/2012/chart">
            <c:ext xmlns:c16="http://schemas.microsoft.com/office/drawing/2014/chart" uri="{C3380CC4-5D6E-409C-BE32-E72D297353CC}">
              <c16:uniqueId val="{00000003-1A1C-4C13-B223-1AA0920162D2}"/>
            </c:ext>
          </c:extLst>
        </c:ser>
        <c:dLbls>
          <c:showLegendKey val="0"/>
          <c:showVal val="0"/>
          <c:showCatName val="0"/>
          <c:showSerName val="0"/>
          <c:showPercent val="0"/>
          <c:showBubbleSize val="0"/>
        </c:dLbls>
        <c:gapWidth val="219"/>
        <c:overlap val="-27"/>
        <c:axId val="361659535"/>
        <c:axId val="361660975"/>
        <c:extLst>
          <c:ext xmlns:c15="http://schemas.microsoft.com/office/drawing/2012/chart" uri="{02D57815-91ED-43cb-92C2-25804820EDAC}">
            <c15:filteredBarSeries>
              <c15:ser>
                <c:idx val="5"/>
                <c:order val="0"/>
                <c:tx>
                  <c:strRef>
                    <c:extLst>
                      <c:ext uri="{02D57815-91ED-43cb-92C2-25804820EDAC}">
                        <c15:formulaRef>
                          <c15:sqref>OptionChain!$L$2</c15:sqref>
                        </c15:formulaRef>
                      </c:ext>
                    </c:extLst>
                    <c:strCache>
                      <c:ptCount val="1"/>
                      <c:pt idx="0">
                        <c:v>CE_VOL</c:v>
                      </c:pt>
                    </c:strCache>
                  </c:strRef>
                </c:tx>
                <c:spPr>
                  <a:solidFill>
                    <a:schemeClr val="accent6"/>
                  </a:solidFill>
                  <a:ln>
                    <a:noFill/>
                  </a:ln>
                  <a:effectLst/>
                </c:spPr>
                <c:invertIfNegative val="0"/>
                <c:cat>
                  <c:numRef>
                    <c:extLst>
                      <c:ex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c:ext uri="{02D57815-91ED-43cb-92C2-25804820EDAC}">
                        <c15:formulaRef>
                          <c15:sqref>OptionChain!$L$3:$L$13</c15:sqref>
                        </c15:formulaRef>
                      </c:ext>
                    </c:extLst>
                    <c:numCache>
                      <c:formatCode>General</c:formatCode>
                      <c:ptCount val="11"/>
                      <c:pt idx="0">
                        <c:v>64395585</c:v>
                      </c:pt>
                      <c:pt idx="1">
                        <c:v>138360405</c:v>
                      </c:pt>
                      <c:pt idx="2">
                        <c:v>132832245</c:v>
                      </c:pt>
                      <c:pt idx="3">
                        <c:v>140650095</c:v>
                      </c:pt>
                      <c:pt idx="4">
                        <c:v>169932465</c:v>
                      </c:pt>
                      <c:pt idx="5">
                        <c:v>180663360</c:v>
                      </c:pt>
                      <c:pt idx="6">
                        <c:v>281709390</c:v>
                      </c:pt>
                      <c:pt idx="7">
                        <c:v>129941415</c:v>
                      </c:pt>
                      <c:pt idx="8">
                        <c:v>135682935</c:v>
                      </c:pt>
                      <c:pt idx="9">
                        <c:v>113088135</c:v>
                      </c:pt>
                      <c:pt idx="10">
                        <c:v>104384760</c:v>
                      </c:pt>
                    </c:numCache>
                  </c:numRef>
                </c:val>
                <c:extLst>
                  <c:ext xmlns:c16="http://schemas.microsoft.com/office/drawing/2014/chart" uri="{C3380CC4-5D6E-409C-BE32-E72D297353CC}">
                    <c16:uniqueId val="{00000002-1A1C-4C13-B223-1AA0920162D2}"/>
                  </c:ext>
                </c:extLst>
              </c15:ser>
            </c15:filteredBarSeries>
            <c15:filteredBarSeries>
              <c15:ser>
                <c:idx val="4"/>
                <c:order val="1"/>
                <c:tx>
                  <c:strRef>
                    <c:extLst xmlns:c15="http://schemas.microsoft.com/office/drawing/2012/chart">
                      <c:ext xmlns:c15="http://schemas.microsoft.com/office/drawing/2012/chart" uri="{02D57815-91ED-43cb-92C2-25804820EDAC}">
                        <c15:formulaRef>
                          <c15:sqref>OptionChain!$Q$2</c15:sqref>
                        </c15:formulaRef>
                      </c:ext>
                    </c:extLst>
                    <c:strCache>
                      <c:ptCount val="1"/>
                      <c:pt idx="0">
                        <c:v>PE_OI</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xmlns:c15="http://schemas.microsoft.com/office/drawing/2012/chart">
                      <c:ext xmlns:c15="http://schemas.microsoft.com/office/drawing/2012/chart" uri="{02D57815-91ED-43cb-92C2-25804820EDAC}">
                        <c15:formulaRef>
                          <c15:sqref>OptionChain!$Q$3:$Q$13</c15:sqref>
                        </c15:formulaRef>
                      </c:ext>
                    </c:extLst>
                    <c:numCache>
                      <c:formatCode>General</c:formatCode>
                      <c:ptCount val="11"/>
                      <c:pt idx="0">
                        <c:v>3576770</c:v>
                      </c:pt>
                      <c:pt idx="1">
                        <c:v>4656860</c:v>
                      </c:pt>
                      <c:pt idx="2">
                        <c:v>3087755</c:v>
                      </c:pt>
                      <c:pt idx="3">
                        <c:v>4644525</c:v>
                      </c:pt>
                      <c:pt idx="4">
                        <c:v>5038050</c:v>
                      </c:pt>
                      <c:pt idx="5">
                        <c:v>5503890</c:v>
                      </c:pt>
                      <c:pt idx="6">
                        <c:v>2568975</c:v>
                      </c:pt>
                      <c:pt idx="7">
                        <c:v>499350</c:v>
                      </c:pt>
                      <c:pt idx="8">
                        <c:v>288510</c:v>
                      </c:pt>
                      <c:pt idx="9">
                        <c:v>107835</c:v>
                      </c:pt>
                      <c:pt idx="10">
                        <c:v>70485</c:v>
                      </c:pt>
                    </c:numCache>
                  </c:numRef>
                </c:val>
                <c:extLst xmlns:c15="http://schemas.microsoft.com/office/drawing/2012/chart">
                  <c:ext xmlns:c16="http://schemas.microsoft.com/office/drawing/2014/chart" uri="{C3380CC4-5D6E-409C-BE32-E72D297353CC}">
                    <c16:uniqueId val="{00000000-1A1C-4C13-B223-1AA0920162D2}"/>
                  </c:ext>
                </c:extLst>
              </c15:ser>
            </c15:filteredBarSeries>
            <c15:filteredBarSeries>
              <c15:ser>
                <c:idx val="0"/>
                <c:order val="2"/>
                <c:tx>
                  <c:strRef>
                    <c:extLst xmlns:c15="http://schemas.microsoft.com/office/drawing/2012/chart">
                      <c:ext xmlns:c15="http://schemas.microsoft.com/office/drawing/2012/chart" uri="{02D57815-91ED-43cb-92C2-25804820EDAC}">
                        <c15:formulaRef>
                          <c15:sqref>OptionChain!$M$2</c15:sqref>
                        </c15:formulaRef>
                      </c:ext>
                    </c:extLst>
                    <c:strCache>
                      <c:ptCount val="1"/>
                      <c:pt idx="0">
                        <c:v>CE_OI</c:v>
                      </c:pt>
                    </c:strCache>
                  </c:strRef>
                </c:tx>
                <c:spPr>
                  <a:solidFill>
                    <a:schemeClr val="accent1"/>
                  </a:solidFill>
                  <a:ln>
                    <a:noFill/>
                  </a:ln>
                  <a:effectLst/>
                </c:spPr>
                <c:invertIfNegative val="0"/>
                <c:cat>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xmlns:c15="http://schemas.microsoft.com/office/drawing/2012/chart">
                      <c:ext xmlns:c15="http://schemas.microsoft.com/office/drawing/2012/chart" uri="{02D57815-91ED-43cb-92C2-25804820EDAC}">
                        <c15:formulaRef>
                          <c15:sqref>OptionChain!$M$3:$M$13</c15:sqref>
                        </c15:formulaRef>
                      </c:ext>
                    </c:extLst>
                    <c:numCache>
                      <c:formatCode>General</c:formatCode>
                      <c:ptCount val="11"/>
                      <c:pt idx="0">
                        <c:v>1812045</c:v>
                      </c:pt>
                      <c:pt idx="1">
                        <c:v>2580000</c:v>
                      </c:pt>
                      <c:pt idx="2">
                        <c:v>1456425</c:v>
                      </c:pt>
                      <c:pt idx="3">
                        <c:v>2257455</c:v>
                      </c:pt>
                      <c:pt idx="4">
                        <c:v>3252570</c:v>
                      </c:pt>
                      <c:pt idx="5">
                        <c:v>5157690</c:v>
                      </c:pt>
                      <c:pt idx="6">
                        <c:v>8001525</c:v>
                      </c:pt>
                      <c:pt idx="7">
                        <c:v>3760800</c:v>
                      </c:pt>
                      <c:pt idx="8">
                        <c:v>4136220</c:v>
                      </c:pt>
                      <c:pt idx="9">
                        <c:v>3472755</c:v>
                      </c:pt>
                      <c:pt idx="10">
                        <c:v>3021450</c:v>
                      </c:pt>
                    </c:numCache>
                  </c:numRef>
                </c:val>
                <c:extLst xmlns:c15="http://schemas.microsoft.com/office/drawing/2012/chart">
                  <c:ext xmlns:c16="http://schemas.microsoft.com/office/drawing/2014/chart" uri="{C3380CC4-5D6E-409C-BE32-E72D297353CC}">
                    <c16:uniqueId val="{00000001-1A1C-4C13-B223-1AA0920162D2}"/>
                  </c:ext>
                </c:extLst>
              </c15:ser>
            </c15:filteredBarSeries>
            <c15:filteredBarSeries>
              <c15:ser>
                <c:idx val="2"/>
                <c:order val="5"/>
                <c:tx>
                  <c:strRef>
                    <c:extLst xmlns:c15="http://schemas.microsoft.com/office/drawing/2012/chart">
                      <c:ext xmlns:c15="http://schemas.microsoft.com/office/drawing/2012/chart" uri="{02D57815-91ED-43cb-92C2-25804820EDAC}">
                        <c15:formulaRef>
                          <c15:sqref>OptionChain!$O$2</c15:sqref>
                        </c15:formulaRef>
                      </c:ext>
                    </c:extLst>
                    <c:strCache>
                      <c:ptCount val="1"/>
                      <c:pt idx="0">
                        <c:v>StrikePrice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val>
                <c:extLst xmlns:c15="http://schemas.microsoft.com/office/drawing/2012/chart">
                  <c:ext xmlns:c16="http://schemas.microsoft.com/office/drawing/2014/chart" uri="{C3380CC4-5D6E-409C-BE32-E72D297353CC}">
                    <c16:uniqueId val="{00000004-1A1C-4C13-B223-1AA0920162D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OptionChain!$R$2</c15:sqref>
                        </c15:formulaRef>
                      </c:ext>
                    </c:extLst>
                    <c:strCache>
                      <c:ptCount val="1"/>
                      <c:pt idx="0">
                        <c:v>PE_VOL</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xmlns:c15="http://schemas.microsoft.com/office/drawing/2012/chart">
                      <c:ext xmlns:c15="http://schemas.microsoft.com/office/drawing/2012/chart" uri="{02D57815-91ED-43cb-92C2-25804820EDAC}">
                        <c15:formulaRef>
                          <c15:sqref>OptionChain!$R$3:$R$13</c15:sqref>
                        </c15:formulaRef>
                      </c:ext>
                    </c:extLst>
                    <c:numCache>
                      <c:formatCode>General</c:formatCode>
                      <c:ptCount val="11"/>
                      <c:pt idx="0">
                        <c:v>150395040</c:v>
                      </c:pt>
                      <c:pt idx="1">
                        <c:v>214709250</c:v>
                      </c:pt>
                      <c:pt idx="2">
                        <c:v>153958845</c:v>
                      </c:pt>
                      <c:pt idx="3">
                        <c:v>132985290</c:v>
                      </c:pt>
                      <c:pt idx="4">
                        <c:v>130461390</c:v>
                      </c:pt>
                      <c:pt idx="5">
                        <c:v>91073415</c:v>
                      </c:pt>
                      <c:pt idx="6">
                        <c:v>59092980</c:v>
                      </c:pt>
                      <c:pt idx="7">
                        <c:v>12367275</c:v>
                      </c:pt>
                      <c:pt idx="8">
                        <c:v>7010310</c:v>
                      </c:pt>
                      <c:pt idx="9">
                        <c:v>1906245</c:v>
                      </c:pt>
                      <c:pt idx="10">
                        <c:v>818085</c:v>
                      </c:pt>
                    </c:numCache>
                  </c:numRef>
                </c:val>
                <c:extLst xmlns:c15="http://schemas.microsoft.com/office/drawing/2012/chart">
                  <c:ext xmlns:c16="http://schemas.microsoft.com/office/drawing/2014/chart" uri="{C3380CC4-5D6E-409C-BE32-E72D297353CC}">
                    <c16:uniqueId val="{00000006-1A1C-4C13-B223-1AA0920162D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OptionChain!$S$2</c15:sqref>
                        </c15:formulaRef>
                      </c:ext>
                    </c:extLst>
                    <c:strCache>
                      <c:ptCount val="1"/>
                      <c:pt idx="0">
                        <c:v>TIME</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OptionChain!$O$3:$O$13</c15:sqref>
                        </c15:formulaRef>
                      </c:ext>
                    </c:extLst>
                    <c:numCache>
                      <c:formatCode>General</c:formatCode>
                      <c:ptCount val="11"/>
                      <c:pt idx="0">
                        <c:v>52400</c:v>
                      </c:pt>
                      <c:pt idx="1">
                        <c:v>52500</c:v>
                      </c:pt>
                      <c:pt idx="2">
                        <c:v>52600</c:v>
                      </c:pt>
                      <c:pt idx="3">
                        <c:v>52700</c:v>
                      </c:pt>
                      <c:pt idx="4">
                        <c:v>52800</c:v>
                      </c:pt>
                      <c:pt idx="5">
                        <c:v>52900</c:v>
                      </c:pt>
                      <c:pt idx="6">
                        <c:v>53000</c:v>
                      </c:pt>
                      <c:pt idx="7">
                        <c:v>53100</c:v>
                      </c:pt>
                      <c:pt idx="8">
                        <c:v>53200</c:v>
                      </c:pt>
                      <c:pt idx="9">
                        <c:v>53300</c:v>
                      </c:pt>
                      <c:pt idx="10">
                        <c:v>53400</c:v>
                      </c:pt>
                    </c:numCache>
                  </c:numRef>
                </c:cat>
                <c:val>
                  <c:numRef>
                    <c:extLst xmlns:c15="http://schemas.microsoft.com/office/drawing/2012/chart">
                      <c:ext xmlns:c15="http://schemas.microsoft.com/office/drawing/2012/chart" uri="{02D57815-91ED-43cb-92C2-25804820EDAC}">
                        <c15:formulaRef>
                          <c15:sqref>OptionChain!$S$3:$S$13</c15:sqref>
                        </c15:formulaRef>
                      </c:ext>
                    </c:extLst>
                    <c:numCache>
                      <c:formatCode>[$-14009]hh:mm;@</c:formatCode>
                      <c:ptCount val="11"/>
                      <c:pt idx="0">
                        <c:v>45469.57169409722</c:v>
                      </c:pt>
                      <c:pt idx="1">
                        <c:v>45469.57169409722</c:v>
                      </c:pt>
                      <c:pt idx="2">
                        <c:v>45469.57169409722</c:v>
                      </c:pt>
                      <c:pt idx="3">
                        <c:v>45469.57169409722</c:v>
                      </c:pt>
                      <c:pt idx="4">
                        <c:v>45469.57169409722</c:v>
                      </c:pt>
                      <c:pt idx="5">
                        <c:v>45469.57169409722</c:v>
                      </c:pt>
                      <c:pt idx="6">
                        <c:v>45469.57169409722</c:v>
                      </c:pt>
                      <c:pt idx="7">
                        <c:v>45469.57169409722</c:v>
                      </c:pt>
                      <c:pt idx="8">
                        <c:v>45469.57169409722</c:v>
                      </c:pt>
                      <c:pt idx="9">
                        <c:v>45469.57169409722</c:v>
                      </c:pt>
                      <c:pt idx="10">
                        <c:v>45469.57169409722</c:v>
                      </c:pt>
                    </c:numCache>
                  </c:numRef>
                </c:val>
                <c:extLst xmlns:c15="http://schemas.microsoft.com/office/drawing/2012/chart">
                  <c:ext xmlns:c16="http://schemas.microsoft.com/office/drawing/2014/chart" uri="{C3380CC4-5D6E-409C-BE32-E72D297353CC}">
                    <c16:uniqueId val="{00000007-1A1C-4C13-B223-1AA0920162D2}"/>
                  </c:ext>
                </c:extLst>
              </c15:ser>
            </c15:filteredBarSeries>
          </c:ext>
        </c:extLst>
      </c:barChart>
      <c:catAx>
        <c:axId val="361659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660975"/>
        <c:crosses val="autoZero"/>
        <c:auto val="1"/>
        <c:lblAlgn val="ctr"/>
        <c:lblOffset val="100"/>
        <c:noMultiLvlLbl val="0"/>
      </c:catAx>
      <c:valAx>
        <c:axId val="361660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6595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SENSEX</a:t>
            </a:r>
            <a:r>
              <a:rPr lang="en-IN" baseline="0"/>
              <a:t> OI</a:t>
            </a:r>
            <a:endParaRPr lang="en-IN"/>
          </a:p>
        </c:rich>
      </c:tx>
      <c:layout>
        <c:manualLayout>
          <c:xMode val="edge"/>
          <c:yMode val="edge"/>
          <c:x val="0.40393744531933506"/>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OptionChain!$AM$2</c:f>
              <c:strCache>
                <c:ptCount val="1"/>
                <c:pt idx="0">
                  <c:v>PE_OI</c:v>
                </c:pt>
              </c:strCache>
            </c:strRef>
          </c:tx>
          <c:spPr>
            <a:solidFill>
              <a:srgbClr val="0CC02E"/>
            </a:solidFill>
            <a:ln>
              <a:noFill/>
            </a:ln>
            <a:effectLst/>
          </c:spPr>
          <c:invertIfNegative val="0"/>
          <c:cat>
            <c:numRef>
              <c:f>OptionChain!$AK$3:$AK$13</c:f>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f>OptionChain!$AM$3:$AM$13</c:f>
              <c:numCache>
                <c:formatCode>General</c:formatCode>
                <c:ptCount val="11"/>
                <c:pt idx="0">
                  <c:v>2691</c:v>
                </c:pt>
                <c:pt idx="1">
                  <c:v>999</c:v>
                </c:pt>
                <c:pt idx="2">
                  <c:v>5228</c:v>
                </c:pt>
                <c:pt idx="3">
                  <c:v>1088</c:v>
                </c:pt>
                <c:pt idx="4">
                  <c:v>962</c:v>
                </c:pt>
                <c:pt idx="5">
                  <c:v>1060</c:v>
                </c:pt>
                <c:pt idx="6">
                  <c:v>963</c:v>
                </c:pt>
                <c:pt idx="7">
                  <c:v>4038</c:v>
                </c:pt>
                <c:pt idx="8">
                  <c:v>208</c:v>
                </c:pt>
                <c:pt idx="9">
                  <c:v>301</c:v>
                </c:pt>
                <c:pt idx="10">
                  <c:v>65</c:v>
                </c:pt>
              </c:numCache>
            </c:numRef>
          </c:val>
          <c:extLst>
            <c:ext xmlns:c16="http://schemas.microsoft.com/office/drawing/2014/chart" uri="{C3380CC4-5D6E-409C-BE32-E72D297353CC}">
              <c16:uniqueId val="{00000005-B021-45CB-9333-20C5366B5CE5}"/>
            </c:ext>
          </c:extLst>
        </c:ser>
        <c:ser>
          <c:idx val="1"/>
          <c:order val="2"/>
          <c:tx>
            <c:strRef>
              <c:f>OptionChain!$AI$2</c:f>
              <c:strCache>
                <c:ptCount val="1"/>
                <c:pt idx="0">
                  <c:v>CE_OI</c:v>
                </c:pt>
              </c:strCache>
            </c:strRef>
          </c:tx>
          <c:spPr>
            <a:solidFill>
              <a:srgbClr val="EA2C0C"/>
            </a:solidFill>
            <a:ln>
              <a:noFill/>
            </a:ln>
            <a:effectLst/>
          </c:spPr>
          <c:invertIfNegative val="0"/>
          <c:cat>
            <c:numRef>
              <c:f>OptionChain!$AK$3:$AK$13</c:f>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f>OptionChain!$AI$3:$AI$13</c:f>
              <c:numCache>
                <c:formatCode>General</c:formatCode>
                <c:ptCount val="11"/>
                <c:pt idx="0">
                  <c:v>486</c:v>
                </c:pt>
                <c:pt idx="1">
                  <c:v>464</c:v>
                </c:pt>
                <c:pt idx="2">
                  <c:v>5099</c:v>
                </c:pt>
                <c:pt idx="3">
                  <c:v>952</c:v>
                </c:pt>
                <c:pt idx="4">
                  <c:v>982</c:v>
                </c:pt>
                <c:pt idx="5">
                  <c:v>1180</c:v>
                </c:pt>
                <c:pt idx="6">
                  <c:v>1473</c:v>
                </c:pt>
                <c:pt idx="7">
                  <c:v>5617</c:v>
                </c:pt>
                <c:pt idx="8">
                  <c:v>904</c:v>
                </c:pt>
                <c:pt idx="9">
                  <c:v>1412</c:v>
                </c:pt>
                <c:pt idx="10">
                  <c:v>1703</c:v>
                </c:pt>
              </c:numCache>
            </c:numRef>
          </c:val>
          <c:extLst>
            <c:ext xmlns:c16="http://schemas.microsoft.com/office/drawing/2014/chart" uri="{C3380CC4-5D6E-409C-BE32-E72D297353CC}">
              <c16:uniqueId val="{00000001-B021-45CB-9333-20C5366B5CE5}"/>
            </c:ext>
          </c:extLst>
        </c:ser>
        <c:dLbls>
          <c:showLegendKey val="0"/>
          <c:showVal val="0"/>
          <c:showCatName val="0"/>
          <c:showSerName val="0"/>
          <c:showPercent val="0"/>
          <c:showBubbleSize val="0"/>
        </c:dLbls>
        <c:gapWidth val="219"/>
        <c:overlap val="-27"/>
        <c:axId val="1741978543"/>
        <c:axId val="1741983343"/>
        <c:extLst>
          <c:ext xmlns:c15="http://schemas.microsoft.com/office/drawing/2012/chart" uri="{02D57815-91ED-43cb-92C2-25804820EDAC}">
            <c15:filteredBarSeries>
              <c15:ser>
                <c:idx val="5"/>
                <c:order val="0"/>
                <c:tx>
                  <c:strRef>
                    <c:extLst>
                      <c:ext uri="{02D57815-91ED-43cb-92C2-25804820EDAC}">
                        <c15:formulaRef>
                          <c15:sqref>OptionChain!$AH$2</c15:sqref>
                        </c15:formulaRef>
                      </c:ext>
                    </c:extLst>
                    <c:strCache>
                      <c:ptCount val="1"/>
                      <c:pt idx="0">
                        <c:v>CE_VOL</c:v>
                      </c:pt>
                    </c:strCache>
                  </c:strRef>
                </c:tx>
                <c:spPr>
                  <a:solidFill>
                    <a:schemeClr val="accent6"/>
                  </a:solidFill>
                  <a:ln>
                    <a:noFill/>
                  </a:ln>
                  <a:effectLst/>
                </c:spPr>
                <c:invertIfNegative val="0"/>
                <c:cat>
                  <c:numRef>
                    <c:extLst>
                      <c:ex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c:ext uri="{02D57815-91ED-43cb-92C2-25804820EDAC}">
                        <c15:formulaRef>
                          <c15:sqref>OptionChain!$AH$3:$AH$13</c15:sqref>
                        </c15:formulaRef>
                      </c:ext>
                    </c:extLst>
                    <c:numCache>
                      <c:formatCode>General</c:formatCode>
                      <c:ptCount val="11"/>
                      <c:pt idx="0">
                        <c:v>44893</c:v>
                      </c:pt>
                      <c:pt idx="1">
                        <c:v>33560</c:v>
                      </c:pt>
                      <c:pt idx="2">
                        <c:v>81770</c:v>
                      </c:pt>
                      <c:pt idx="3">
                        <c:v>35638</c:v>
                      </c:pt>
                      <c:pt idx="4">
                        <c:v>36476</c:v>
                      </c:pt>
                      <c:pt idx="5">
                        <c:v>38861</c:v>
                      </c:pt>
                      <c:pt idx="6">
                        <c:v>30597</c:v>
                      </c:pt>
                      <c:pt idx="7">
                        <c:v>90739</c:v>
                      </c:pt>
                      <c:pt idx="8">
                        <c:v>13857</c:v>
                      </c:pt>
                      <c:pt idx="9">
                        <c:v>19084</c:v>
                      </c:pt>
                      <c:pt idx="10">
                        <c:v>16672</c:v>
                      </c:pt>
                    </c:numCache>
                  </c:numRef>
                </c:val>
                <c:extLst>
                  <c:ext xmlns:c16="http://schemas.microsoft.com/office/drawing/2014/chart" uri="{C3380CC4-5D6E-409C-BE32-E72D297353CC}">
                    <c16:uniqueId val="{00000000-B021-45CB-9333-20C5366B5CE5}"/>
                  </c:ext>
                </c:extLst>
              </c15:ser>
            </c15:filteredBarSeries>
            <c15:filteredBarSeries>
              <c15:ser>
                <c:idx val="0"/>
                <c:order val="3"/>
                <c:tx>
                  <c:strRef>
                    <c:extLst xmlns:c15="http://schemas.microsoft.com/office/drawing/2012/chart">
                      <c:ext xmlns:c15="http://schemas.microsoft.com/office/drawing/2012/chart" uri="{02D57815-91ED-43cb-92C2-25804820EDAC}">
                        <c15:formulaRef>
                          <c15:sqref>OptionChain!$AJ$2</c15:sqref>
                        </c15:formulaRef>
                      </c:ext>
                    </c:extLst>
                    <c:strCache>
                      <c:ptCount val="1"/>
                      <c:pt idx="0">
                        <c:v>CE_COI</c:v>
                      </c:pt>
                    </c:strCache>
                  </c:strRef>
                </c:tx>
                <c:spPr>
                  <a:solidFill>
                    <a:schemeClr val="accent1"/>
                  </a:solidFill>
                  <a:ln>
                    <a:noFill/>
                  </a:ln>
                  <a:effectLst/>
                </c:spPr>
                <c:invertIfNegative val="0"/>
                <c:cat>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xmlns:c15="http://schemas.microsoft.com/office/drawing/2012/chart">
                      <c:ext xmlns:c15="http://schemas.microsoft.com/office/drawing/2012/chart" uri="{02D57815-91ED-43cb-92C2-25804820EDAC}">
                        <c15:formulaRef>
                          <c15:sqref>OptionChain!$AJ$3:$AJ$13</c15:sqref>
                        </c15:formulaRef>
                      </c:ext>
                    </c:extLst>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xmlns:c15="http://schemas.microsoft.com/office/drawing/2012/chart">
                  <c:ext xmlns:c16="http://schemas.microsoft.com/office/drawing/2014/chart" uri="{C3380CC4-5D6E-409C-BE32-E72D297353CC}">
                    <c16:uniqueId val="{00000002-B021-45CB-9333-20C5366B5CE5}"/>
                  </c:ext>
                </c:extLst>
              </c15:ser>
            </c15:filteredBarSeries>
            <c15:filteredBarSeries>
              <c15:ser>
                <c:idx val="2"/>
                <c:order val="4"/>
                <c:tx>
                  <c:strRef>
                    <c:extLst xmlns:c15="http://schemas.microsoft.com/office/drawing/2012/chart">
                      <c:ext xmlns:c15="http://schemas.microsoft.com/office/drawing/2012/chart" uri="{02D57815-91ED-43cb-92C2-25804820EDAC}">
                        <c15:formulaRef>
                          <c15:sqref>OptionChain!$AK$2</c15:sqref>
                        </c15:formulaRef>
                      </c:ext>
                    </c:extLst>
                    <c:strCache>
                      <c:ptCount val="1"/>
                      <c:pt idx="0">
                        <c:v>StrikePrice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val>
                <c:extLst xmlns:c15="http://schemas.microsoft.com/office/drawing/2012/chart">
                  <c:ext xmlns:c16="http://schemas.microsoft.com/office/drawing/2014/chart" uri="{C3380CC4-5D6E-409C-BE32-E72D297353CC}">
                    <c16:uniqueId val="{00000003-B021-45CB-9333-20C5366B5CE5}"/>
                  </c:ext>
                </c:extLst>
              </c15:ser>
            </c15:filteredBarSeries>
            <c15:filteredBarSeries>
              <c15:ser>
                <c:idx val="3"/>
                <c:order val="5"/>
                <c:tx>
                  <c:strRef>
                    <c:extLst xmlns:c15="http://schemas.microsoft.com/office/drawing/2012/chart">
                      <c:ext xmlns:c15="http://schemas.microsoft.com/office/drawing/2012/chart" uri="{02D57815-91ED-43cb-92C2-25804820EDAC}">
                        <c15:formulaRef>
                          <c15:sqref>OptionChain!$AL$2</c15:sqref>
                        </c15:formulaRef>
                      </c:ext>
                    </c:extLst>
                    <c:strCache>
                      <c:ptCount val="1"/>
                      <c:pt idx="0">
                        <c:v>PE_COI</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xmlns:c15="http://schemas.microsoft.com/office/drawing/2012/chart">
                      <c:ext xmlns:c15="http://schemas.microsoft.com/office/drawing/2012/chart" uri="{02D57815-91ED-43cb-92C2-25804820EDAC}">
                        <c15:formulaRef>
                          <c15:sqref>OptionChain!$AL$3:$AL$13</c15:sqref>
                        </c15:formulaRef>
                      </c:ext>
                    </c:extLst>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xmlns:c15="http://schemas.microsoft.com/office/drawing/2012/chart">
                  <c:ext xmlns:c16="http://schemas.microsoft.com/office/drawing/2014/chart" uri="{C3380CC4-5D6E-409C-BE32-E72D297353CC}">
                    <c16:uniqueId val="{00000004-B021-45CB-9333-20C5366B5CE5}"/>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OptionChain!$AN$2</c15:sqref>
                        </c15:formulaRef>
                      </c:ext>
                    </c:extLst>
                    <c:strCache>
                      <c:ptCount val="1"/>
                      <c:pt idx="0">
                        <c:v>PE_VOL</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xmlns:c15="http://schemas.microsoft.com/office/drawing/2012/chart">
                      <c:ext xmlns:c15="http://schemas.microsoft.com/office/drawing/2012/chart" uri="{02D57815-91ED-43cb-92C2-25804820EDAC}">
                        <c15:formulaRef>
                          <c15:sqref>OptionChain!$AN$3:$AN$13</c15:sqref>
                        </c15:formulaRef>
                      </c:ext>
                    </c:extLst>
                    <c:numCache>
                      <c:formatCode>General</c:formatCode>
                      <c:ptCount val="11"/>
                      <c:pt idx="0">
                        <c:v>67840</c:v>
                      </c:pt>
                      <c:pt idx="1">
                        <c:v>43508</c:v>
                      </c:pt>
                      <c:pt idx="2">
                        <c:v>70191</c:v>
                      </c:pt>
                      <c:pt idx="3">
                        <c:v>29928</c:v>
                      </c:pt>
                      <c:pt idx="4">
                        <c:v>20835</c:v>
                      </c:pt>
                      <c:pt idx="5">
                        <c:v>16415</c:v>
                      </c:pt>
                      <c:pt idx="6">
                        <c:v>9126</c:v>
                      </c:pt>
                      <c:pt idx="7">
                        <c:v>19901</c:v>
                      </c:pt>
                      <c:pt idx="8">
                        <c:v>840</c:v>
                      </c:pt>
                      <c:pt idx="9">
                        <c:v>344</c:v>
                      </c:pt>
                      <c:pt idx="10">
                        <c:v>381</c:v>
                      </c:pt>
                    </c:numCache>
                  </c:numRef>
                </c:val>
                <c:extLst xmlns:c15="http://schemas.microsoft.com/office/drawing/2012/chart">
                  <c:ext xmlns:c16="http://schemas.microsoft.com/office/drawing/2014/chart" uri="{C3380CC4-5D6E-409C-BE32-E72D297353CC}">
                    <c16:uniqueId val="{00000006-B021-45CB-9333-20C5366B5CE5}"/>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OptionChain!$AO$2</c15:sqref>
                        </c15:formulaRef>
                      </c:ext>
                    </c:extLst>
                    <c:strCache>
                      <c:ptCount val="1"/>
                      <c:pt idx="0">
                        <c:v>TIME</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xmlns:c15="http://schemas.microsoft.com/office/drawing/2012/chart">
                      <c:ext xmlns:c15="http://schemas.microsoft.com/office/drawing/2012/chart" uri="{02D57815-91ED-43cb-92C2-25804820EDAC}">
                        <c15:formulaRef>
                          <c15:sqref>OptionChain!$AO$3:$AO$13</c15:sqref>
                        </c15:formulaRef>
                      </c:ext>
                    </c:extLst>
                    <c:numCache>
                      <c:formatCode>[$-14009]hh:mm;@</c:formatCode>
                      <c:ptCount val="11"/>
                      <c:pt idx="0">
                        <c:v>45469.571693981481</c:v>
                      </c:pt>
                      <c:pt idx="1">
                        <c:v>45469.571693981481</c:v>
                      </c:pt>
                      <c:pt idx="2">
                        <c:v>45469.571693981481</c:v>
                      </c:pt>
                      <c:pt idx="3">
                        <c:v>45469.571693981481</c:v>
                      </c:pt>
                      <c:pt idx="4">
                        <c:v>45469.571693981481</c:v>
                      </c:pt>
                      <c:pt idx="5">
                        <c:v>45469.571693981481</c:v>
                      </c:pt>
                      <c:pt idx="6">
                        <c:v>45469.571693981481</c:v>
                      </c:pt>
                      <c:pt idx="7">
                        <c:v>45469.571693981481</c:v>
                      </c:pt>
                      <c:pt idx="8">
                        <c:v>45469.571693981481</c:v>
                      </c:pt>
                      <c:pt idx="9">
                        <c:v>45469.571693981481</c:v>
                      </c:pt>
                      <c:pt idx="10">
                        <c:v>45469.571693981481</c:v>
                      </c:pt>
                    </c:numCache>
                  </c:numRef>
                </c:val>
                <c:extLst xmlns:c15="http://schemas.microsoft.com/office/drawing/2012/chart">
                  <c:ext xmlns:c16="http://schemas.microsoft.com/office/drawing/2014/chart" uri="{C3380CC4-5D6E-409C-BE32-E72D297353CC}">
                    <c16:uniqueId val="{00000007-B021-45CB-9333-20C5366B5CE5}"/>
                  </c:ext>
                </c:extLst>
              </c15:ser>
            </c15:filteredBarSeries>
          </c:ext>
        </c:extLst>
      </c:barChart>
      <c:catAx>
        <c:axId val="1741978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83343"/>
        <c:crosses val="autoZero"/>
        <c:auto val="1"/>
        <c:lblAlgn val="ctr"/>
        <c:lblOffset val="100"/>
        <c:noMultiLvlLbl val="0"/>
      </c:catAx>
      <c:valAx>
        <c:axId val="174198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785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SENSEX</a:t>
            </a:r>
            <a:r>
              <a:rPr lang="en-IN" baseline="0"/>
              <a:t> COI</a:t>
            </a:r>
            <a:endParaRPr lang="en-IN"/>
          </a:p>
        </c:rich>
      </c:tx>
      <c:layout>
        <c:manualLayout>
          <c:xMode val="edge"/>
          <c:yMode val="edge"/>
          <c:x val="0.40393744531933506"/>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3"/>
          <c:order val="3"/>
          <c:tx>
            <c:strRef>
              <c:f>OptionChain!$AL$2</c:f>
              <c:strCache>
                <c:ptCount val="1"/>
                <c:pt idx="0">
                  <c:v>PE_COI</c:v>
                </c:pt>
              </c:strCache>
              <c:extLst xmlns:c15="http://schemas.microsoft.com/office/drawing/2012/chart"/>
            </c:strRef>
          </c:tx>
          <c:spPr>
            <a:solidFill>
              <a:srgbClr val="0CC02E"/>
            </a:solidFill>
            <a:ln>
              <a:noFill/>
            </a:ln>
            <a:effectLst/>
          </c:spPr>
          <c:invertIfNegative val="0"/>
          <c:cat>
            <c:numRef>
              <c:f>OptionChain!$AK$3:$AK$13</c:f>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extLst xmlns:c15="http://schemas.microsoft.com/office/drawing/2012/chart"/>
            </c:numRef>
          </c:cat>
          <c:val>
            <c:numRef>
              <c:f>OptionChain!$AL$3:$AL$13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extLst xmlns:c15="http://schemas.microsoft.com/office/drawing/2012/chart"/>
            </c:numRef>
          </c:val>
          <c:extLst>
            <c:ext xmlns:c16="http://schemas.microsoft.com/office/drawing/2014/chart" uri="{C3380CC4-5D6E-409C-BE32-E72D297353CC}">
              <c16:uniqueId val="{00000005-7F19-4889-BC1E-F91368922FFE}"/>
            </c:ext>
          </c:extLst>
        </c:ser>
        <c:ser>
          <c:idx val="0"/>
          <c:order val="4"/>
          <c:tx>
            <c:strRef>
              <c:f>OptionChain!$AJ$2</c:f>
              <c:strCache>
                <c:ptCount val="1"/>
                <c:pt idx="0">
                  <c:v>CE_COI</c:v>
                </c:pt>
              </c:strCache>
              <c:extLst xmlns:c15="http://schemas.microsoft.com/office/drawing/2012/chart"/>
            </c:strRef>
          </c:tx>
          <c:spPr>
            <a:solidFill>
              <a:srgbClr val="EA2C0C"/>
            </a:solidFill>
            <a:ln>
              <a:noFill/>
            </a:ln>
            <a:effectLst/>
          </c:spPr>
          <c:invertIfNegative val="0"/>
          <c:cat>
            <c:numRef>
              <c:f>OptionChain!$AK$3:$AK$13</c:f>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extLst xmlns:c15="http://schemas.microsoft.com/office/drawing/2012/chart"/>
            </c:numRef>
          </c:cat>
          <c:val>
            <c:numRef>
              <c:f>OptionChain!$AJ$3:$AJ$13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extLst xmlns:c15="http://schemas.microsoft.com/office/drawing/2012/chart"/>
            </c:numRef>
          </c:val>
          <c:extLst>
            <c:ext xmlns:c16="http://schemas.microsoft.com/office/drawing/2014/chart" uri="{C3380CC4-5D6E-409C-BE32-E72D297353CC}">
              <c16:uniqueId val="{00000003-7F19-4889-BC1E-F91368922FFE}"/>
            </c:ext>
          </c:extLst>
        </c:ser>
        <c:dLbls>
          <c:showLegendKey val="0"/>
          <c:showVal val="0"/>
          <c:showCatName val="0"/>
          <c:showSerName val="0"/>
          <c:showPercent val="0"/>
          <c:showBubbleSize val="0"/>
        </c:dLbls>
        <c:gapWidth val="219"/>
        <c:overlap val="-27"/>
        <c:axId val="1741978543"/>
        <c:axId val="1741983343"/>
        <c:extLst>
          <c:ext xmlns:c15="http://schemas.microsoft.com/office/drawing/2012/chart" uri="{02D57815-91ED-43cb-92C2-25804820EDAC}">
            <c15:filteredBarSeries>
              <c15:ser>
                <c:idx val="5"/>
                <c:order val="0"/>
                <c:tx>
                  <c:strRef>
                    <c:extLst>
                      <c:ext uri="{02D57815-91ED-43cb-92C2-25804820EDAC}">
                        <c15:formulaRef>
                          <c15:sqref>OptionChain!$AH$2</c15:sqref>
                        </c15:formulaRef>
                      </c:ext>
                    </c:extLst>
                    <c:strCache>
                      <c:ptCount val="1"/>
                      <c:pt idx="0">
                        <c:v>CE_VOL</c:v>
                      </c:pt>
                    </c:strCache>
                  </c:strRef>
                </c:tx>
                <c:spPr>
                  <a:solidFill>
                    <a:schemeClr val="accent6"/>
                  </a:solidFill>
                  <a:ln>
                    <a:noFill/>
                  </a:ln>
                  <a:effectLst/>
                </c:spPr>
                <c:invertIfNegative val="0"/>
                <c:cat>
                  <c:numRef>
                    <c:extLst>
                      <c:ex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c:ext uri="{02D57815-91ED-43cb-92C2-25804820EDAC}">
                        <c15:formulaRef>
                          <c15:sqref>OptionChain!$AH$3:$AH$13</c15:sqref>
                        </c15:formulaRef>
                      </c:ext>
                    </c:extLst>
                    <c:numCache>
                      <c:formatCode>General</c:formatCode>
                      <c:ptCount val="11"/>
                      <c:pt idx="0">
                        <c:v>44893</c:v>
                      </c:pt>
                      <c:pt idx="1">
                        <c:v>33560</c:v>
                      </c:pt>
                      <c:pt idx="2">
                        <c:v>81770</c:v>
                      </c:pt>
                      <c:pt idx="3">
                        <c:v>35638</c:v>
                      </c:pt>
                      <c:pt idx="4">
                        <c:v>36476</c:v>
                      </c:pt>
                      <c:pt idx="5">
                        <c:v>38861</c:v>
                      </c:pt>
                      <c:pt idx="6">
                        <c:v>30597</c:v>
                      </c:pt>
                      <c:pt idx="7">
                        <c:v>90739</c:v>
                      </c:pt>
                      <c:pt idx="8">
                        <c:v>13857</c:v>
                      </c:pt>
                      <c:pt idx="9">
                        <c:v>19084</c:v>
                      </c:pt>
                      <c:pt idx="10">
                        <c:v>16672</c:v>
                      </c:pt>
                    </c:numCache>
                  </c:numRef>
                </c:val>
                <c:extLst>
                  <c:ext xmlns:c16="http://schemas.microsoft.com/office/drawing/2014/chart" uri="{C3380CC4-5D6E-409C-BE32-E72D297353CC}">
                    <c16:uniqueId val="{00000002-7F19-4889-BC1E-F91368922FFE}"/>
                  </c:ext>
                </c:extLst>
              </c15:ser>
            </c15:filteredBarSeries>
            <c15:filteredBarSeries>
              <c15:ser>
                <c:idx val="4"/>
                <c:order val="1"/>
                <c:tx>
                  <c:strRef>
                    <c:extLst xmlns:c15="http://schemas.microsoft.com/office/drawing/2012/chart">
                      <c:ext xmlns:c15="http://schemas.microsoft.com/office/drawing/2012/chart" uri="{02D57815-91ED-43cb-92C2-25804820EDAC}">
                        <c15:formulaRef>
                          <c15:sqref>OptionChain!$AM$2</c15:sqref>
                        </c15:formulaRef>
                      </c:ext>
                    </c:extLst>
                    <c:strCache>
                      <c:ptCount val="1"/>
                      <c:pt idx="0">
                        <c:v>PE_OI</c:v>
                      </c:pt>
                    </c:strCache>
                  </c:strRef>
                </c:tx>
                <c:spPr>
                  <a:solidFill>
                    <a:srgbClr val="0CC02E"/>
                  </a:solidFill>
                  <a:ln>
                    <a:noFill/>
                  </a:ln>
                  <a:effectLst/>
                </c:spPr>
                <c:invertIfNegative val="0"/>
                <c:cat>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xmlns:c15="http://schemas.microsoft.com/office/drawing/2012/chart">
                      <c:ext xmlns:c15="http://schemas.microsoft.com/office/drawing/2012/chart" uri="{02D57815-91ED-43cb-92C2-25804820EDAC}">
                        <c15:formulaRef>
                          <c15:sqref>OptionChain!$AM$3:$AM$13</c15:sqref>
                        </c15:formulaRef>
                      </c:ext>
                    </c:extLst>
                    <c:numCache>
                      <c:formatCode>General</c:formatCode>
                      <c:ptCount val="11"/>
                      <c:pt idx="0">
                        <c:v>2691</c:v>
                      </c:pt>
                      <c:pt idx="1">
                        <c:v>999</c:v>
                      </c:pt>
                      <c:pt idx="2">
                        <c:v>5228</c:v>
                      </c:pt>
                      <c:pt idx="3">
                        <c:v>1088</c:v>
                      </c:pt>
                      <c:pt idx="4">
                        <c:v>962</c:v>
                      </c:pt>
                      <c:pt idx="5">
                        <c:v>1060</c:v>
                      </c:pt>
                      <c:pt idx="6">
                        <c:v>963</c:v>
                      </c:pt>
                      <c:pt idx="7">
                        <c:v>4038</c:v>
                      </c:pt>
                      <c:pt idx="8">
                        <c:v>208</c:v>
                      </c:pt>
                      <c:pt idx="9">
                        <c:v>301</c:v>
                      </c:pt>
                      <c:pt idx="10">
                        <c:v>65</c:v>
                      </c:pt>
                    </c:numCache>
                  </c:numRef>
                </c:val>
                <c:extLst xmlns:c15="http://schemas.microsoft.com/office/drawing/2012/chart">
                  <c:ext xmlns:c16="http://schemas.microsoft.com/office/drawing/2014/chart" uri="{C3380CC4-5D6E-409C-BE32-E72D297353CC}">
                    <c16:uniqueId val="{00000000-7F19-4889-BC1E-F91368922FFE}"/>
                  </c:ext>
                </c:extLst>
              </c15:ser>
            </c15:filteredBarSeries>
            <c15:filteredBarSeries>
              <c15:ser>
                <c:idx val="1"/>
                <c:order val="2"/>
                <c:tx>
                  <c:strRef>
                    <c:extLst xmlns:c15="http://schemas.microsoft.com/office/drawing/2012/chart">
                      <c:ext xmlns:c15="http://schemas.microsoft.com/office/drawing/2012/chart" uri="{02D57815-91ED-43cb-92C2-25804820EDAC}">
                        <c15:formulaRef>
                          <c15:sqref>OptionChain!$AI$2</c15:sqref>
                        </c15:formulaRef>
                      </c:ext>
                    </c:extLst>
                    <c:strCache>
                      <c:ptCount val="1"/>
                      <c:pt idx="0">
                        <c:v>CE_OI</c:v>
                      </c:pt>
                    </c:strCache>
                  </c:strRef>
                </c:tx>
                <c:spPr>
                  <a:solidFill>
                    <a:srgbClr val="EA2C0C"/>
                  </a:solidFill>
                  <a:ln>
                    <a:noFill/>
                  </a:ln>
                  <a:effectLst/>
                </c:spPr>
                <c:invertIfNegative val="0"/>
                <c:cat>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xmlns:c15="http://schemas.microsoft.com/office/drawing/2012/chart">
                      <c:ext xmlns:c15="http://schemas.microsoft.com/office/drawing/2012/chart" uri="{02D57815-91ED-43cb-92C2-25804820EDAC}">
                        <c15:formulaRef>
                          <c15:sqref>OptionChain!$AI$3:$AI$13</c15:sqref>
                        </c15:formulaRef>
                      </c:ext>
                    </c:extLst>
                    <c:numCache>
                      <c:formatCode>General</c:formatCode>
                      <c:ptCount val="11"/>
                      <c:pt idx="0">
                        <c:v>486</c:v>
                      </c:pt>
                      <c:pt idx="1">
                        <c:v>464</c:v>
                      </c:pt>
                      <c:pt idx="2">
                        <c:v>5099</c:v>
                      </c:pt>
                      <c:pt idx="3">
                        <c:v>952</c:v>
                      </c:pt>
                      <c:pt idx="4">
                        <c:v>982</c:v>
                      </c:pt>
                      <c:pt idx="5">
                        <c:v>1180</c:v>
                      </c:pt>
                      <c:pt idx="6">
                        <c:v>1473</c:v>
                      </c:pt>
                      <c:pt idx="7">
                        <c:v>5617</c:v>
                      </c:pt>
                      <c:pt idx="8">
                        <c:v>904</c:v>
                      </c:pt>
                      <c:pt idx="9">
                        <c:v>1412</c:v>
                      </c:pt>
                      <c:pt idx="10">
                        <c:v>1703</c:v>
                      </c:pt>
                    </c:numCache>
                  </c:numRef>
                </c:val>
                <c:extLst xmlns:c15="http://schemas.microsoft.com/office/drawing/2012/chart">
                  <c:ext xmlns:c16="http://schemas.microsoft.com/office/drawing/2014/chart" uri="{C3380CC4-5D6E-409C-BE32-E72D297353CC}">
                    <c16:uniqueId val="{00000001-7F19-4889-BC1E-F91368922FFE}"/>
                  </c:ext>
                </c:extLst>
              </c15:ser>
            </c15:filteredBarSeries>
            <c15:filteredBarSeries>
              <c15:ser>
                <c:idx val="2"/>
                <c:order val="5"/>
                <c:tx>
                  <c:strRef>
                    <c:extLst xmlns:c15="http://schemas.microsoft.com/office/drawing/2012/chart">
                      <c:ext xmlns:c15="http://schemas.microsoft.com/office/drawing/2012/chart" uri="{02D57815-91ED-43cb-92C2-25804820EDAC}">
                        <c15:formulaRef>
                          <c15:sqref>OptionChain!$AK$2</c15:sqref>
                        </c15:formulaRef>
                      </c:ext>
                    </c:extLst>
                    <c:strCache>
                      <c:ptCount val="1"/>
                      <c:pt idx="0">
                        <c:v>StrikePrice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val>
                <c:extLst xmlns:c15="http://schemas.microsoft.com/office/drawing/2012/chart">
                  <c:ext xmlns:c16="http://schemas.microsoft.com/office/drawing/2014/chart" uri="{C3380CC4-5D6E-409C-BE32-E72D297353CC}">
                    <c16:uniqueId val="{00000004-7F19-4889-BC1E-F91368922FFE}"/>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OptionChain!$AN$2</c15:sqref>
                        </c15:formulaRef>
                      </c:ext>
                    </c:extLst>
                    <c:strCache>
                      <c:ptCount val="1"/>
                      <c:pt idx="0">
                        <c:v>PE_VOL</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xmlns:c15="http://schemas.microsoft.com/office/drawing/2012/chart">
                      <c:ext xmlns:c15="http://schemas.microsoft.com/office/drawing/2012/chart" uri="{02D57815-91ED-43cb-92C2-25804820EDAC}">
                        <c15:formulaRef>
                          <c15:sqref>OptionChain!$AN$3:$AN$13</c15:sqref>
                        </c15:formulaRef>
                      </c:ext>
                    </c:extLst>
                    <c:numCache>
                      <c:formatCode>General</c:formatCode>
                      <c:ptCount val="11"/>
                      <c:pt idx="0">
                        <c:v>67840</c:v>
                      </c:pt>
                      <c:pt idx="1">
                        <c:v>43508</c:v>
                      </c:pt>
                      <c:pt idx="2">
                        <c:v>70191</c:v>
                      </c:pt>
                      <c:pt idx="3">
                        <c:v>29928</c:v>
                      </c:pt>
                      <c:pt idx="4">
                        <c:v>20835</c:v>
                      </c:pt>
                      <c:pt idx="5">
                        <c:v>16415</c:v>
                      </c:pt>
                      <c:pt idx="6">
                        <c:v>9126</c:v>
                      </c:pt>
                      <c:pt idx="7">
                        <c:v>19901</c:v>
                      </c:pt>
                      <c:pt idx="8">
                        <c:v>840</c:v>
                      </c:pt>
                      <c:pt idx="9">
                        <c:v>344</c:v>
                      </c:pt>
                      <c:pt idx="10">
                        <c:v>381</c:v>
                      </c:pt>
                    </c:numCache>
                  </c:numRef>
                </c:val>
                <c:extLst xmlns:c15="http://schemas.microsoft.com/office/drawing/2012/chart">
                  <c:ext xmlns:c16="http://schemas.microsoft.com/office/drawing/2014/chart" uri="{C3380CC4-5D6E-409C-BE32-E72D297353CC}">
                    <c16:uniqueId val="{00000006-7F19-4889-BC1E-F91368922FFE}"/>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OptionChain!$AO$2</c15:sqref>
                        </c15:formulaRef>
                      </c:ext>
                    </c:extLst>
                    <c:strCache>
                      <c:ptCount val="1"/>
                      <c:pt idx="0">
                        <c:v>TIME</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OptionChain!$AK$3:$AK$13</c15:sqref>
                        </c15:formulaRef>
                      </c:ext>
                    </c:extLst>
                    <c:numCache>
                      <c:formatCode>General</c:formatCode>
                      <c:ptCount val="11"/>
                      <c:pt idx="0">
                        <c:v>72300</c:v>
                      </c:pt>
                      <c:pt idx="1">
                        <c:v>72400</c:v>
                      </c:pt>
                      <c:pt idx="2">
                        <c:v>72500</c:v>
                      </c:pt>
                      <c:pt idx="3">
                        <c:v>72600</c:v>
                      </c:pt>
                      <c:pt idx="4">
                        <c:v>72700</c:v>
                      </c:pt>
                      <c:pt idx="5">
                        <c:v>72800</c:v>
                      </c:pt>
                      <c:pt idx="6">
                        <c:v>72900</c:v>
                      </c:pt>
                      <c:pt idx="7">
                        <c:v>73000</c:v>
                      </c:pt>
                      <c:pt idx="8">
                        <c:v>73100</c:v>
                      </c:pt>
                      <c:pt idx="9">
                        <c:v>73200</c:v>
                      </c:pt>
                      <c:pt idx="10">
                        <c:v>73300</c:v>
                      </c:pt>
                    </c:numCache>
                  </c:numRef>
                </c:cat>
                <c:val>
                  <c:numRef>
                    <c:extLst xmlns:c15="http://schemas.microsoft.com/office/drawing/2012/chart">
                      <c:ext xmlns:c15="http://schemas.microsoft.com/office/drawing/2012/chart" uri="{02D57815-91ED-43cb-92C2-25804820EDAC}">
                        <c15:formulaRef>
                          <c15:sqref>OptionChain!$AO$3:$AO$13</c15:sqref>
                        </c15:formulaRef>
                      </c:ext>
                    </c:extLst>
                    <c:numCache>
                      <c:formatCode>[$-14009]hh:mm;@</c:formatCode>
                      <c:ptCount val="11"/>
                      <c:pt idx="0">
                        <c:v>45469.571693981481</c:v>
                      </c:pt>
                      <c:pt idx="1">
                        <c:v>45469.571693981481</c:v>
                      </c:pt>
                      <c:pt idx="2">
                        <c:v>45469.571693981481</c:v>
                      </c:pt>
                      <c:pt idx="3">
                        <c:v>45469.571693981481</c:v>
                      </c:pt>
                      <c:pt idx="4">
                        <c:v>45469.571693981481</c:v>
                      </c:pt>
                      <c:pt idx="5">
                        <c:v>45469.571693981481</c:v>
                      </c:pt>
                      <c:pt idx="6">
                        <c:v>45469.571693981481</c:v>
                      </c:pt>
                      <c:pt idx="7">
                        <c:v>45469.571693981481</c:v>
                      </c:pt>
                      <c:pt idx="8">
                        <c:v>45469.571693981481</c:v>
                      </c:pt>
                      <c:pt idx="9">
                        <c:v>45469.571693981481</c:v>
                      </c:pt>
                      <c:pt idx="10">
                        <c:v>45469.571693981481</c:v>
                      </c:pt>
                    </c:numCache>
                  </c:numRef>
                </c:val>
                <c:extLst xmlns:c15="http://schemas.microsoft.com/office/drawing/2012/chart">
                  <c:ext xmlns:c16="http://schemas.microsoft.com/office/drawing/2014/chart" uri="{C3380CC4-5D6E-409C-BE32-E72D297353CC}">
                    <c16:uniqueId val="{00000007-7F19-4889-BC1E-F91368922FFE}"/>
                  </c:ext>
                </c:extLst>
              </c15:ser>
            </c15:filteredBarSeries>
          </c:ext>
        </c:extLst>
      </c:barChart>
      <c:catAx>
        <c:axId val="1741978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83343"/>
        <c:crosses val="autoZero"/>
        <c:auto val="1"/>
        <c:lblAlgn val="ctr"/>
        <c:lblOffset val="100"/>
        <c:noMultiLvlLbl val="0"/>
      </c:catAx>
      <c:valAx>
        <c:axId val="174198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785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FINNIFTY</a:t>
            </a:r>
            <a:r>
              <a:rPr lang="en-IN" baseline="0"/>
              <a:t> OI</a:t>
            </a:r>
            <a:endParaRPr lang="en-IN"/>
          </a:p>
        </c:rich>
      </c:tx>
      <c:layout>
        <c:manualLayout>
          <c:xMode val="edge"/>
          <c:yMode val="edge"/>
          <c:x val="0.40393744531933506"/>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3"/>
          <c:order val="0"/>
          <c:tx>
            <c:strRef>
              <c:f>OptionChain!$AX$2</c:f>
              <c:strCache>
                <c:ptCount val="1"/>
                <c:pt idx="0">
                  <c:v>PE_OI</c:v>
                </c:pt>
              </c:strCache>
            </c:strRef>
          </c:tx>
          <c:spPr>
            <a:solidFill>
              <a:srgbClr val="0CC02E"/>
            </a:solidFill>
            <a:ln>
              <a:noFill/>
            </a:ln>
            <a:effectLst/>
          </c:spPr>
          <c:invertIfNegative val="0"/>
          <c:cat>
            <c:numRef>
              <c:f>OptionChain!$AV$3:$AV$13</c:f>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f>OptionChain!$AX$3:$AX$13</c:f>
              <c:numCache>
                <c:formatCode>General</c:formatCode>
                <c:ptCount val="11"/>
                <c:pt idx="0">
                  <c:v>46916</c:v>
                </c:pt>
                <c:pt idx="1">
                  <c:v>22386</c:v>
                </c:pt>
                <c:pt idx="2">
                  <c:v>36057</c:v>
                </c:pt>
                <c:pt idx="3">
                  <c:v>18626</c:v>
                </c:pt>
                <c:pt idx="4">
                  <c:v>44465</c:v>
                </c:pt>
                <c:pt idx="5">
                  <c:v>25211</c:v>
                </c:pt>
                <c:pt idx="6">
                  <c:v>19580</c:v>
                </c:pt>
                <c:pt idx="7">
                  <c:v>5009</c:v>
                </c:pt>
                <c:pt idx="8">
                  <c:v>4578</c:v>
                </c:pt>
                <c:pt idx="9">
                  <c:v>3936</c:v>
                </c:pt>
                <c:pt idx="10">
                  <c:v>4996</c:v>
                </c:pt>
              </c:numCache>
            </c:numRef>
          </c:val>
          <c:extLst>
            <c:ext xmlns:c16="http://schemas.microsoft.com/office/drawing/2014/chart" uri="{C3380CC4-5D6E-409C-BE32-E72D297353CC}">
              <c16:uniqueId val="{00000005-197D-4010-B226-51F9B1E13BFD}"/>
            </c:ext>
          </c:extLst>
        </c:ser>
        <c:ser>
          <c:idx val="4"/>
          <c:order val="2"/>
          <c:tx>
            <c:strRef>
              <c:f>OptionChain!$AT$2</c:f>
              <c:strCache>
                <c:ptCount val="1"/>
                <c:pt idx="0">
                  <c:v>CE_OI</c:v>
                </c:pt>
              </c:strCache>
            </c:strRef>
          </c:tx>
          <c:spPr>
            <a:solidFill>
              <a:srgbClr val="EA2C0C"/>
            </a:solidFill>
            <a:ln>
              <a:noFill/>
            </a:ln>
            <a:effectLst/>
          </c:spPr>
          <c:invertIfNegative val="0"/>
          <c:cat>
            <c:numRef>
              <c:f>OptionChain!$AV$3:$AV$13</c:f>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f>OptionChain!$AT$3:$AT$13</c:f>
              <c:numCache>
                <c:formatCode>General</c:formatCode>
                <c:ptCount val="11"/>
                <c:pt idx="0">
                  <c:v>7943</c:v>
                </c:pt>
                <c:pt idx="1">
                  <c:v>5309</c:v>
                </c:pt>
                <c:pt idx="2">
                  <c:v>10821</c:v>
                </c:pt>
                <c:pt idx="3">
                  <c:v>5445</c:v>
                </c:pt>
                <c:pt idx="4">
                  <c:v>24831</c:v>
                </c:pt>
                <c:pt idx="5">
                  <c:v>20626</c:v>
                </c:pt>
                <c:pt idx="6">
                  <c:v>41827</c:v>
                </c:pt>
                <c:pt idx="7">
                  <c:v>27477</c:v>
                </c:pt>
                <c:pt idx="8">
                  <c:v>45467</c:v>
                </c:pt>
                <c:pt idx="9">
                  <c:v>29210</c:v>
                </c:pt>
                <c:pt idx="10">
                  <c:v>58969</c:v>
                </c:pt>
              </c:numCache>
            </c:numRef>
          </c:val>
          <c:extLst>
            <c:ext xmlns:c16="http://schemas.microsoft.com/office/drawing/2014/chart" uri="{C3380CC4-5D6E-409C-BE32-E72D297353CC}">
              <c16:uniqueId val="{00000000-197D-4010-B226-51F9B1E13BFD}"/>
            </c:ext>
          </c:extLst>
        </c:ser>
        <c:dLbls>
          <c:showLegendKey val="0"/>
          <c:showVal val="0"/>
          <c:showCatName val="0"/>
          <c:showSerName val="0"/>
          <c:showPercent val="0"/>
          <c:showBubbleSize val="0"/>
        </c:dLbls>
        <c:gapWidth val="219"/>
        <c:overlap val="-27"/>
        <c:axId val="1741978543"/>
        <c:axId val="1741983343"/>
        <c:extLst>
          <c:ext xmlns:c15="http://schemas.microsoft.com/office/drawing/2012/chart" uri="{02D57815-91ED-43cb-92C2-25804820EDAC}">
            <c15:filteredBarSeries>
              <c15:ser>
                <c:idx val="5"/>
                <c:order val="1"/>
                <c:tx>
                  <c:strRef>
                    <c:extLst>
                      <c:ext uri="{02D57815-91ED-43cb-92C2-25804820EDAC}">
                        <c15:formulaRef>
                          <c15:sqref>OptionChain!$AS$2</c15:sqref>
                        </c15:formulaRef>
                      </c:ext>
                    </c:extLst>
                    <c:strCache>
                      <c:ptCount val="1"/>
                      <c:pt idx="0">
                        <c:v>CE_VOL</c:v>
                      </c:pt>
                    </c:strCache>
                  </c:strRef>
                </c:tx>
                <c:spPr>
                  <a:solidFill>
                    <a:schemeClr val="accent6"/>
                  </a:solidFill>
                  <a:ln>
                    <a:noFill/>
                  </a:ln>
                  <a:effectLst/>
                </c:spPr>
                <c:invertIfNegative val="0"/>
                <c:cat>
                  <c:numRef>
                    <c:extLst>
                      <c:ex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c:ext uri="{02D57815-91ED-43cb-92C2-25804820EDAC}">
                        <c15:formulaRef>
                          <c15:sqref>OptionChain!$AS$3:$AS$13</c15:sqref>
                        </c15:formulaRef>
                      </c:ext>
                    </c:extLst>
                    <c:numCache>
                      <c:formatCode>General</c:formatCode>
                      <c:ptCount val="11"/>
                      <c:pt idx="0">
                        <c:v>828781</c:v>
                      </c:pt>
                      <c:pt idx="1">
                        <c:v>689179</c:v>
                      </c:pt>
                      <c:pt idx="2">
                        <c:v>1130516</c:v>
                      </c:pt>
                      <c:pt idx="3">
                        <c:v>897503</c:v>
                      </c:pt>
                      <c:pt idx="4">
                        <c:v>1359821</c:v>
                      </c:pt>
                      <c:pt idx="5">
                        <c:v>1156066</c:v>
                      </c:pt>
                      <c:pt idx="6">
                        <c:v>1642312</c:v>
                      </c:pt>
                      <c:pt idx="7">
                        <c:v>1048292</c:v>
                      </c:pt>
                      <c:pt idx="8">
                        <c:v>1306193</c:v>
                      </c:pt>
                      <c:pt idx="9">
                        <c:v>775340</c:v>
                      </c:pt>
                      <c:pt idx="10">
                        <c:v>1164120</c:v>
                      </c:pt>
                    </c:numCache>
                  </c:numRef>
                </c:val>
                <c:extLst>
                  <c:ext xmlns:c16="http://schemas.microsoft.com/office/drawing/2014/chart" uri="{C3380CC4-5D6E-409C-BE32-E72D297353CC}">
                    <c16:uniqueId val="{00000002-197D-4010-B226-51F9B1E13BFD}"/>
                  </c:ext>
                </c:extLst>
              </c15:ser>
            </c15:filteredBarSeries>
            <c15:filteredBarSeries>
              <c15:ser>
                <c:idx val="1"/>
                <c:order val="3"/>
                <c:tx>
                  <c:strRef>
                    <c:extLst xmlns:c15="http://schemas.microsoft.com/office/drawing/2012/chart">
                      <c:ext xmlns:c15="http://schemas.microsoft.com/office/drawing/2012/chart" uri="{02D57815-91ED-43cb-92C2-25804820EDAC}">
                        <c15:formulaRef>
                          <c15:sqref>OptionChain!$AU$2</c15:sqref>
                        </c15:formulaRef>
                      </c:ext>
                    </c:extLst>
                    <c:strCache>
                      <c:ptCount val="1"/>
                      <c:pt idx="0">
                        <c:v>CE_COI</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xmlns:c15="http://schemas.microsoft.com/office/drawing/2012/chart">
                      <c:ext xmlns:c15="http://schemas.microsoft.com/office/drawing/2012/chart" uri="{02D57815-91ED-43cb-92C2-25804820EDAC}">
                        <c15:formulaRef>
                          <c15:sqref>OptionChain!$AU$3:$AU$13</c15:sqref>
                        </c15:formulaRef>
                      </c:ext>
                    </c:extLst>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xmlns:c15="http://schemas.microsoft.com/office/drawing/2012/chart">
                  <c:ext xmlns:c16="http://schemas.microsoft.com/office/drawing/2014/chart" uri="{C3380CC4-5D6E-409C-BE32-E72D297353CC}">
                    <c16:uniqueId val="{00000001-197D-4010-B226-51F9B1E13BFD}"/>
                  </c:ext>
                </c:extLst>
              </c15:ser>
            </c15:filteredBarSeries>
            <c15:filteredBarSeries>
              <c15:ser>
                <c:idx val="0"/>
                <c:order val="4"/>
                <c:tx>
                  <c:strRef>
                    <c:extLst xmlns:c15="http://schemas.microsoft.com/office/drawing/2012/chart">
                      <c:ext xmlns:c15="http://schemas.microsoft.com/office/drawing/2012/chart" uri="{02D57815-91ED-43cb-92C2-25804820EDAC}">
                        <c15:formulaRef>
                          <c15:sqref>OptionChain!$AV$2</c15:sqref>
                        </c15:formulaRef>
                      </c:ext>
                    </c:extLst>
                    <c:strCache>
                      <c:ptCount val="1"/>
                      <c:pt idx="0">
                        <c:v>StrikePrice</c:v>
                      </c:pt>
                    </c:strCache>
                  </c:strRef>
                </c:tx>
                <c:spPr>
                  <a:solidFill>
                    <a:schemeClr val="accent1"/>
                  </a:solidFill>
                  <a:ln>
                    <a:noFill/>
                  </a:ln>
                  <a:effectLst/>
                </c:spPr>
                <c:invertIfNegative val="0"/>
                <c:cat>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val>
                <c:extLst xmlns:c15="http://schemas.microsoft.com/office/drawing/2012/chart">
                  <c:ext xmlns:c16="http://schemas.microsoft.com/office/drawing/2014/chart" uri="{C3380CC4-5D6E-409C-BE32-E72D297353CC}">
                    <c16:uniqueId val="{00000003-197D-4010-B226-51F9B1E13BFD}"/>
                  </c:ext>
                </c:extLst>
              </c15:ser>
            </c15:filteredBarSeries>
            <c15:filteredBarSeries>
              <c15:ser>
                <c:idx val="2"/>
                <c:order val="5"/>
                <c:tx>
                  <c:strRef>
                    <c:extLst xmlns:c15="http://schemas.microsoft.com/office/drawing/2012/chart">
                      <c:ext xmlns:c15="http://schemas.microsoft.com/office/drawing/2012/chart" uri="{02D57815-91ED-43cb-92C2-25804820EDAC}">
                        <c15:formulaRef>
                          <c15:sqref>OptionChain!$AW$2</c15:sqref>
                        </c15:formulaRef>
                      </c:ext>
                    </c:extLst>
                    <c:strCache>
                      <c:ptCount val="1"/>
                      <c:pt idx="0">
                        <c:v>PE_COI</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xmlns:c15="http://schemas.microsoft.com/office/drawing/2012/chart">
                      <c:ext xmlns:c15="http://schemas.microsoft.com/office/drawing/2012/chart" uri="{02D57815-91ED-43cb-92C2-25804820EDAC}">
                        <c15:formulaRef>
                          <c15:sqref>OptionChain!$AW$3:$AW$13</c15:sqref>
                        </c15:formulaRef>
                      </c:ext>
                    </c:extLst>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xmlns:c15="http://schemas.microsoft.com/office/drawing/2012/chart">
                  <c:ext xmlns:c16="http://schemas.microsoft.com/office/drawing/2014/chart" uri="{C3380CC4-5D6E-409C-BE32-E72D297353CC}">
                    <c16:uniqueId val="{00000004-197D-4010-B226-51F9B1E13BFD}"/>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OptionChain!$AY$2</c15:sqref>
                        </c15:formulaRef>
                      </c:ext>
                    </c:extLst>
                    <c:strCache>
                      <c:ptCount val="1"/>
                      <c:pt idx="0">
                        <c:v>PE_VOL</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xmlns:c15="http://schemas.microsoft.com/office/drawing/2012/chart">
                      <c:ext xmlns:c15="http://schemas.microsoft.com/office/drawing/2012/chart" uri="{02D57815-91ED-43cb-92C2-25804820EDAC}">
                        <c15:formulaRef>
                          <c15:sqref>OptionChain!$AY$3:$AY$13</c15:sqref>
                        </c15:formulaRef>
                      </c:ext>
                    </c:extLst>
                    <c:numCache>
                      <c:formatCode>General</c:formatCode>
                      <c:ptCount val="11"/>
                      <c:pt idx="0">
                        <c:v>1644718</c:v>
                      </c:pt>
                      <c:pt idx="1">
                        <c:v>878844</c:v>
                      </c:pt>
                      <c:pt idx="2">
                        <c:v>1046422</c:v>
                      </c:pt>
                      <c:pt idx="3">
                        <c:v>572350</c:v>
                      </c:pt>
                      <c:pt idx="4">
                        <c:v>656799</c:v>
                      </c:pt>
                      <c:pt idx="5">
                        <c:v>411293</c:v>
                      </c:pt>
                      <c:pt idx="6">
                        <c:v>271089</c:v>
                      </c:pt>
                      <c:pt idx="7">
                        <c:v>45782</c:v>
                      </c:pt>
                      <c:pt idx="8">
                        <c:v>34108</c:v>
                      </c:pt>
                      <c:pt idx="9">
                        <c:v>7190</c:v>
                      </c:pt>
                      <c:pt idx="10">
                        <c:v>8812</c:v>
                      </c:pt>
                    </c:numCache>
                  </c:numRef>
                </c:val>
                <c:extLst xmlns:c15="http://schemas.microsoft.com/office/drawing/2012/chart">
                  <c:ext xmlns:c16="http://schemas.microsoft.com/office/drawing/2014/chart" uri="{C3380CC4-5D6E-409C-BE32-E72D297353CC}">
                    <c16:uniqueId val="{00000006-197D-4010-B226-51F9B1E13BFD}"/>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OptionChain!$AZ$2</c15:sqref>
                        </c15:formulaRef>
                      </c:ext>
                    </c:extLst>
                    <c:strCache>
                      <c:ptCount val="1"/>
                      <c:pt idx="0">
                        <c:v>TIME</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xmlns:c15="http://schemas.microsoft.com/office/drawing/2012/chart">
                      <c:ext xmlns:c15="http://schemas.microsoft.com/office/drawing/2012/chart" uri="{02D57815-91ED-43cb-92C2-25804820EDAC}">
                        <c15:formulaRef>
                          <c15:sqref>OptionChain!$AZ$3:$AZ$13</c15:sqref>
                        </c15:formulaRef>
                      </c:ext>
                    </c:extLst>
                    <c:numCache>
                      <c:formatCode>[$-14009]hh:mm;@</c:formatCode>
                      <c:ptCount val="11"/>
                      <c:pt idx="0">
                        <c:v>45469.571693981481</c:v>
                      </c:pt>
                      <c:pt idx="1">
                        <c:v>45469.571693981481</c:v>
                      </c:pt>
                      <c:pt idx="2">
                        <c:v>45469.571693981481</c:v>
                      </c:pt>
                      <c:pt idx="3">
                        <c:v>45469.571693981481</c:v>
                      </c:pt>
                      <c:pt idx="4">
                        <c:v>45469.571693981481</c:v>
                      </c:pt>
                      <c:pt idx="5">
                        <c:v>45469.571693981481</c:v>
                      </c:pt>
                      <c:pt idx="6">
                        <c:v>45469.571693981481</c:v>
                      </c:pt>
                      <c:pt idx="7">
                        <c:v>45469.571693981481</c:v>
                      </c:pt>
                      <c:pt idx="8">
                        <c:v>45469.571693981481</c:v>
                      </c:pt>
                      <c:pt idx="9">
                        <c:v>45469.571693981481</c:v>
                      </c:pt>
                      <c:pt idx="10">
                        <c:v>45469.571693981481</c:v>
                      </c:pt>
                    </c:numCache>
                  </c:numRef>
                </c:val>
                <c:extLst xmlns:c15="http://schemas.microsoft.com/office/drawing/2012/chart">
                  <c:ext xmlns:c16="http://schemas.microsoft.com/office/drawing/2014/chart" uri="{C3380CC4-5D6E-409C-BE32-E72D297353CC}">
                    <c16:uniqueId val="{00000007-197D-4010-B226-51F9B1E13BFD}"/>
                  </c:ext>
                </c:extLst>
              </c15:ser>
            </c15:filteredBarSeries>
          </c:ext>
        </c:extLst>
      </c:barChart>
      <c:catAx>
        <c:axId val="1741978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83343"/>
        <c:crosses val="autoZero"/>
        <c:auto val="1"/>
        <c:lblAlgn val="ctr"/>
        <c:lblOffset val="100"/>
        <c:noMultiLvlLbl val="0"/>
      </c:catAx>
      <c:valAx>
        <c:axId val="174198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785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FINNIFTY</a:t>
            </a:r>
            <a:r>
              <a:rPr lang="en-IN" baseline="0"/>
              <a:t> COI</a:t>
            </a:r>
            <a:endParaRPr lang="en-IN"/>
          </a:p>
        </c:rich>
      </c:tx>
      <c:layout>
        <c:manualLayout>
          <c:xMode val="edge"/>
          <c:yMode val="edge"/>
          <c:x val="0.40393744531933506"/>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3"/>
          <c:tx>
            <c:strRef>
              <c:f>OptionChain!$AW$2</c:f>
              <c:strCache>
                <c:ptCount val="1"/>
                <c:pt idx="0">
                  <c:v>PE_COI</c:v>
                </c:pt>
              </c:strCache>
              <c:extLst xmlns:c15="http://schemas.microsoft.com/office/drawing/2012/chart"/>
            </c:strRef>
          </c:tx>
          <c:spPr>
            <a:solidFill>
              <a:srgbClr val="0CC02E"/>
            </a:solidFill>
            <a:ln>
              <a:noFill/>
            </a:ln>
            <a:effectLst/>
          </c:spPr>
          <c:invertIfNegative val="0"/>
          <c:cat>
            <c:numRef>
              <c:f>OptionChain!$AV$3:$AV$13</c:f>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extLst xmlns:c15="http://schemas.microsoft.com/office/drawing/2012/chart"/>
            </c:numRef>
          </c:cat>
          <c:val>
            <c:numRef>
              <c:f>OptionChain!$AW$3:$AW$13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extLst xmlns:c15="http://schemas.microsoft.com/office/drawing/2012/chart"/>
            </c:numRef>
          </c:val>
          <c:extLst>
            <c:ext xmlns:c16="http://schemas.microsoft.com/office/drawing/2014/chart" uri="{C3380CC4-5D6E-409C-BE32-E72D297353CC}">
              <c16:uniqueId val="{00000005-AE2A-476B-B82F-D139302B7822}"/>
            </c:ext>
          </c:extLst>
        </c:ser>
        <c:ser>
          <c:idx val="1"/>
          <c:order val="4"/>
          <c:tx>
            <c:strRef>
              <c:f>OptionChain!$AU$2</c:f>
              <c:strCache>
                <c:ptCount val="1"/>
                <c:pt idx="0">
                  <c:v>CE_COI</c:v>
                </c:pt>
              </c:strCache>
              <c:extLst xmlns:c15="http://schemas.microsoft.com/office/drawing/2012/chart"/>
            </c:strRef>
          </c:tx>
          <c:spPr>
            <a:solidFill>
              <a:srgbClr val="EA2C0C"/>
            </a:solidFill>
            <a:ln>
              <a:noFill/>
            </a:ln>
            <a:effectLst/>
          </c:spPr>
          <c:invertIfNegative val="0"/>
          <c:cat>
            <c:numRef>
              <c:f>OptionChain!$AV$3:$AV$13</c:f>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extLst xmlns:c15="http://schemas.microsoft.com/office/drawing/2012/chart"/>
            </c:numRef>
          </c:cat>
          <c:val>
            <c:numRef>
              <c:f>OptionChain!$AU$3:$AU$13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extLst xmlns:c15="http://schemas.microsoft.com/office/drawing/2012/chart"/>
            </c:numRef>
          </c:val>
          <c:extLst>
            <c:ext xmlns:c16="http://schemas.microsoft.com/office/drawing/2014/chart" uri="{C3380CC4-5D6E-409C-BE32-E72D297353CC}">
              <c16:uniqueId val="{00000003-AE2A-476B-B82F-D139302B7822}"/>
            </c:ext>
          </c:extLst>
        </c:ser>
        <c:dLbls>
          <c:showLegendKey val="0"/>
          <c:showVal val="0"/>
          <c:showCatName val="0"/>
          <c:showSerName val="0"/>
          <c:showPercent val="0"/>
          <c:showBubbleSize val="0"/>
        </c:dLbls>
        <c:gapWidth val="219"/>
        <c:overlap val="-27"/>
        <c:axId val="1741978543"/>
        <c:axId val="1741983343"/>
        <c:extLst>
          <c:ext xmlns:c15="http://schemas.microsoft.com/office/drawing/2012/chart" uri="{02D57815-91ED-43cb-92C2-25804820EDAC}">
            <c15:filteredBarSeries>
              <c15:ser>
                <c:idx val="3"/>
                <c:order val="0"/>
                <c:tx>
                  <c:strRef>
                    <c:extLst>
                      <c:ext uri="{02D57815-91ED-43cb-92C2-25804820EDAC}">
                        <c15:formulaRef>
                          <c15:sqref>OptionChain!$AX$2</c15:sqref>
                        </c15:formulaRef>
                      </c:ext>
                    </c:extLst>
                    <c:strCache>
                      <c:ptCount val="1"/>
                      <c:pt idx="0">
                        <c:v>PE_OI</c:v>
                      </c:pt>
                    </c:strCache>
                  </c:strRef>
                </c:tx>
                <c:spPr>
                  <a:solidFill>
                    <a:srgbClr val="0CC02E"/>
                  </a:solidFill>
                  <a:ln>
                    <a:noFill/>
                  </a:ln>
                  <a:effectLst/>
                </c:spPr>
                <c:invertIfNegative val="0"/>
                <c:cat>
                  <c:numRef>
                    <c:extLst>
                      <c:ex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c:ext uri="{02D57815-91ED-43cb-92C2-25804820EDAC}">
                        <c15:formulaRef>
                          <c15:sqref>OptionChain!$AX$3:$AX$13</c15:sqref>
                        </c15:formulaRef>
                      </c:ext>
                    </c:extLst>
                    <c:numCache>
                      <c:formatCode>General</c:formatCode>
                      <c:ptCount val="11"/>
                      <c:pt idx="0">
                        <c:v>46916</c:v>
                      </c:pt>
                      <c:pt idx="1">
                        <c:v>22386</c:v>
                      </c:pt>
                      <c:pt idx="2">
                        <c:v>36057</c:v>
                      </c:pt>
                      <c:pt idx="3">
                        <c:v>18626</c:v>
                      </c:pt>
                      <c:pt idx="4">
                        <c:v>44465</c:v>
                      </c:pt>
                      <c:pt idx="5">
                        <c:v>25211</c:v>
                      </c:pt>
                      <c:pt idx="6">
                        <c:v>19580</c:v>
                      </c:pt>
                      <c:pt idx="7">
                        <c:v>5009</c:v>
                      </c:pt>
                      <c:pt idx="8">
                        <c:v>4578</c:v>
                      </c:pt>
                      <c:pt idx="9">
                        <c:v>3936</c:v>
                      </c:pt>
                      <c:pt idx="10">
                        <c:v>4996</c:v>
                      </c:pt>
                    </c:numCache>
                  </c:numRef>
                </c:val>
                <c:extLst>
                  <c:ext xmlns:c16="http://schemas.microsoft.com/office/drawing/2014/chart" uri="{C3380CC4-5D6E-409C-BE32-E72D297353CC}">
                    <c16:uniqueId val="{00000000-AE2A-476B-B82F-D139302B7822}"/>
                  </c:ext>
                </c:extLst>
              </c15:ser>
            </c15:filteredBarSeries>
            <c15:filteredBarSeries>
              <c15:ser>
                <c:idx val="5"/>
                <c:order val="1"/>
                <c:tx>
                  <c:strRef>
                    <c:extLst xmlns:c15="http://schemas.microsoft.com/office/drawing/2012/chart">
                      <c:ext xmlns:c15="http://schemas.microsoft.com/office/drawing/2012/chart" uri="{02D57815-91ED-43cb-92C2-25804820EDAC}">
                        <c15:formulaRef>
                          <c15:sqref>OptionChain!$AS$2</c15:sqref>
                        </c15:formulaRef>
                      </c:ext>
                    </c:extLst>
                    <c:strCache>
                      <c:ptCount val="1"/>
                      <c:pt idx="0">
                        <c:v>CE_VOL</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xmlns:c15="http://schemas.microsoft.com/office/drawing/2012/chart">
                      <c:ext xmlns:c15="http://schemas.microsoft.com/office/drawing/2012/chart" uri="{02D57815-91ED-43cb-92C2-25804820EDAC}">
                        <c15:formulaRef>
                          <c15:sqref>OptionChain!$AS$3:$AS$13</c15:sqref>
                        </c15:formulaRef>
                      </c:ext>
                    </c:extLst>
                    <c:numCache>
                      <c:formatCode>General</c:formatCode>
                      <c:ptCount val="11"/>
                      <c:pt idx="0">
                        <c:v>828781</c:v>
                      </c:pt>
                      <c:pt idx="1">
                        <c:v>689179</c:v>
                      </c:pt>
                      <c:pt idx="2">
                        <c:v>1130516</c:v>
                      </c:pt>
                      <c:pt idx="3">
                        <c:v>897503</c:v>
                      </c:pt>
                      <c:pt idx="4">
                        <c:v>1359821</c:v>
                      </c:pt>
                      <c:pt idx="5">
                        <c:v>1156066</c:v>
                      </c:pt>
                      <c:pt idx="6">
                        <c:v>1642312</c:v>
                      </c:pt>
                      <c:pt idx="7">
                        <c:v>1048292</c:v>
                      </c:pt>
                      <c:pt idx="8">
                        <c:v>1306193</c:v>
                      </c:pt>
                      <c:pt idx="9">
                        <c:v>775340</c:v>
                      </c:pt>
                      <c:pt idx="10">
                        <c:v>1164120</c:v>
                      </c:pt>
                    </c:numCache>
                  </c:numRef>
                </c:val>
                <c:extLst xmlns:c15="http://schemas.microsoft.com/office/drawing/2012/chart">
                  <c:ext xmlns:c16="http://schemas.microsoft.com/office/drawing/2014/chart" uri="{C3380CC4-5D6E-409C-BE32-E72D297353CC}">
                    <c16:uniqueId val="{00000002-AE2A-476B-B82F-D139302B7822}"/>
                  </c:ext>
                </c:extLst>
              </c15:ser>
            </c15:filteredBarSeries>
            <c15:filteredBarSeries>
              <c15:ser>
                <c:idx val="4"/>
                <c:order val="2"/>
                <c:tx>
                  <c:strRef>
                    <c:extLst xmlns:c15="http://schemas.microsoft.com/office/drawing/2012/chart">
                      <c:ext xmlns:c15="http://schemas.microsoft.com/office/drawing/2012/chart" uri="{02D57815-91ED-43cb-92C2-25804820EDAC}">
                        <c15:formulaRef>
                          <c15:sqref>OptionChain!$AT$2</c15:sqref>
                        </c15:formulaRef>
                      </c:ext>
                    </c:extLst>
                    <c:strCache>
                      <c:ptCount val="1"/>
                      <c:pt idx="0">
                        <c:v>CE_OI</c:v>
                      </c:pt>
                    </c:strCache>
                  </c:strRef>
                </c:tx>
                <c:spPr>
                  <a:solidFill>
                    <a:srgbClr val="EA2C0C"/>
                  </a:solidFill>
                  <a:ln>
                    <a:noFill/>
                  </a:ln>
                  <a:effectLst/>
                </c:spPr>
                <c:invertIfNegative val="0"/>
                <c:cat>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xmlns:c15="http://schemas.microsoft.com/office/drawing/2012/chart">
                      <c:ext xmlns:c15="http://schemas.microsoft.com/office/drawing/2012/chart" uri="{02D57815-91ED-43cb-92C2-25804820EDAC}">
                        <c15:formulaRef>
                          <c15:sqref>OptionChain!$AT$3:$AT$13</c15:sqref>
                        </c15:formulaRef>
                      </c:ext>
                    </c:extLst>
                    <c:numCache>
                      <c:formatCode>General</c:formatCode>
                      <c:ptCount val="11"/>
                      <c:pt idx="0">
                        <c:v>7943</c:v>
                      </c:pt>
                      <c:pt idx="1">
                        <c:v>5309</c:v>
                      </c:pt>
                      <c:pt idx="2">
                        <c:v>10821</c:v>
                      </c:pt>
                      <c:pt idx="3">
                        <c:v>5445</c:v>
                      </c:pt>
                      <c:pt idx="4">
                        <c:v>24831</c:v>
                      </c:pt>
                      <c:pt idx="5">
                        <c:v>20626</c:v>
                      </c:pt>
                      <c:pt idx="6">
                        <c:v>41827</c:v>
                      </c:pt>
                      <c:pt idx="7">
                        <c:v>27477</c:v>
                      </c:pt>
                      <c:pt idx="8">
                        <c:v>45467</c:v>
                      </c:pt>
                      <c:pt idx="9">
                        <c:v>29210</c:v>
                      </c:pt>
                      <c:pt idx="10">
                        <c:v>58969</c:v>
                      </c:pt>
                    </c:numCache>
                  </c:numRef>
                </c:val>
                <c:extLst xmlns:c15="http://schemas.microsoft.com/office/drawing/2012/chart">
                  <c:ext xmlns:c16="http://schemas.microsoft.com/office/drawing/2014/chart" uri="{C3380CC4-5D6E-409C-BE32-E72D297353CC}">
                    <c16:uniqueId val="{00000001-AE2A-476B-B82F-D139302B7822}"/>
                  </c:ext>
                </c:extLst>
              </c15:ser>
            </c15:filteredBarSeries>
            <c15:filteredBarSeries>
              <c15:ser>
                <c:idx val="0"/>
                <c:order val="5"/>
                <c:tx>
                  <c:strRef>
                    <c:extLst xmlns:c15="http://schemas.microsoft.com/office/drawing/2012/chart">
                      <c:ext xmlns:c15="http://schemas.microsoft.com/office/drawing/2012/chart" uri="{02D57815-91ED-43cb-92C2-25804820EDAC}">
                        <c15:formulaRef>
                          <c15:sqref>OptionChain!$AV$2</c15:sqref>
                        </c15:formulaRef>
                      </c:ext>
                    </c:extLst>
                    <c:strCache>
                      <c:ptCount val="1"/>
                      <c:pt idx="0">
                        <c:v>StrikePrice</c:v>
                      </c:pt>
                    </c:strCache>
                  </c:strRef>
                </c:tx>
                <c:spPr>
                  <a:solidFill>
                    <a:schemeClr val="accent1"/>
                  </a:solidFill>
                  <a:ln>
                    <a:noFill/>
                  </a:ln>
                  <a:effectLst/>
                </c:spPr>
                <c:invertIfNegative val="0"/>
                <c:cat>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val>
                <c:extLst xmlns:c15="http://schemas.microsoft.com/office/drawing/2012/chart">
                  <c:ext xmlns:c16="http://schemas.microsoft.com/office/drawing/2014/chart" uri="{C3380CC4-5D6E-409C-BE32-E72D297353CC}">
                    <c16:uniqueId val="{00000004-AE2A-476B-B82F-D139302B782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OptionChain!$AY$2</c15:sqref>
                        </c15:formulaRef>
                      </c:ext>
                    </c:extLst>
                    <c:strCache>
                      <c:ptCount val="1"/>
                      <c:pt idx="0">
                        <c:v>PE_VOL</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xmlns:c15="http://schemas.microsoft.com/office/drawing/2012/chart">
                      <c:ext xmlns:c15="http://schemas.microsoft.com/office/drawing/2012/chart" uri="{02D57815-91ED-43cb-92C2-25804820EDAC}">
                        <c15:formulaRef>
                          <c15:sqref>OptionChain!$AY$3:$AY$13</c15:sqref>
                        </c15:formulaRef>
                      </c:ext>
                    </c:extLst>
                    <c:numCache>
                      <c:formatCode>General</c:formatCode>
                      <c:ptCount val="11"/>
                      <c:pt idx="0">
                        <c:v>1644718</c:v>
                      </c:pt>
                      <c:pt idx="1">
                        <c:v>878844</c:v>
                      </c:pt>
                      <c:pt idx="2">
                        <c:v>1046422</c:v>
                      </c:pt>
                      <c:pt idx="3">
                        <c:v>572350</c:v>
                      </c:pt>
                      <c:pt idx="4">
                        <c:v>656799</c:v>
                      </c:pt>
                      <c:pt idx="5">
                        <c:v>411293</c:v>
                      </c:pt>
                      <c:pt idx="6">
                        <c:v>271089</c:v>
                      </c:pt>
                      <c:pt idx="7">
                        <c:v>45782</c:v>
                      </c:pt>
                      <c:pt idx="8">
                        <c:v>34108</c:v>
                      </c:pt>
                      <c:pt idx="9">
                        <c:v>7190</c:v>
                      </c:pt>
                      <c:pt idx="10">
                        <c:v>8812</c:v>
                      </c:pt>
                    </c:numCache>
                  </c:numRef>
                </c:val>
                <c:extLst xmlns:c15="http://schemas.microsoft.com/office/drawing/2012/chart">
                  <c:ext xmlns:c16="http://schemas.microsoft.com/office/drawing/2014/chart" uri="{C3380CC4-5D6E-409C-BE32-E72D297353CC}">
                    <c16:uniqueId val="{00000006-AE2A-476B-B82F-D139302B782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OptionChain!$AZ$2</c15:sqref>
                        </c15:formulaRef>
                      </c:ext>
                    </c:extLst>
                    <c:strCache>
                      <c:ptCount val="1"/>
                      <c:pt idx="0">
                        <c:v>TIME</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OptionChain!$AV$3:$AV$13</c15:sqref>
                        </c15:formulaRef>
                      </c:ext>
                    </c:extLst>
                    <c:numCache>
                      <c:formatCode>General</c:formatCode>
                      <c:ptCount val="11"/>
                      <c:pt idx="0">
                        <c:v>21000</c:v>
                      </c:pt>
                      <c:pt idx="1">
                        <c:v>21050</c:v>
                      </c:pt>
                      <c:pt idx="2">
                        <c:v>21100</c:v>
                      </c:pt>
                      <c:pt idx="3">
                        <c:v>21150</c:v>
                      </c:pt>
                      <c:pt idx="4">
                        <c:v>21200</c:v>
                      </c:pt>
                      <c:pt idx="5">
                        <c:v>21250</c:v>
                      </c:pt>
                      <c:pt idx="6">
                        <c:v>21300</c:v>
                      </c:pt>
                      <c:pt idx="7">
                        <c:v>21350</c:v>
                      </c:pt>
                      <c:pt idx="8">
                        <c:v>21400</c:v>
                      </c:pt>
                      <c:pt idx="9">
                        <c:v>21450</c:v>
                      </c:pt>
                      <c:pt idx="10">
                        <c:v>21500</c:v>
                      </c:pt>
                    </c:numCache>
                  </c:numRef>
                </c:cat>
                <c:val>
                  <c:numRef>
                    <c:extLst xmlns:c15="http://schemas.microsoft.com/office/drawing/2012/chart">
                      <c:ext xmlns:c15="http://schemas.microsoft.com/office/drawing/2012/chart" uri="{02D57815-91ED-43cb-92C2-25804820EDAC}">
                        <c15:formulaRef>
                          <c15:sqref>OptionChain!$AZ$3:$AZ$13</c15:sqref>
                        </c15:formulaRef>
                      </c:ext>
                    </c:extLst>
                    <c:numCache>
                      <c:formatCode>[$-14009]hh:mm;@</c:formatCode>
                      <c:ptCount val="11"/>
                      <c:pt idx="0">
                        <c:v>45469.571693981481</c:v>
                      </c:pt>
                      <c:pt idx="1">
                        <c:v>45469.571693981481</c:v>
                      </c:pt>
                      <c:pt idx="2">
                        <c:v>45469.571693981481</c:v>
                      </c:pt>
                      <c:pt idx="3">
                        <c:v>45469.571693981481</c:v>
                      </c:pt>
                      <c:pt idx="4">
                        <c:v>45469.571693981481</c:v>
                      </c:pt>
                      <c:pt idx="5">
                        <c:v>45469.571693981481</c:v>
                      </c:pt>
                      <c:pt idx="6">
                        <c:v>45469.571693981481</c:v>
                      </c:pt>
                      <c:pt idx="7">
                        <c:v>45469.571693981481</c:v>
                      </c:pt>
                      <c:pt idx="8">
                        <c:v>45469.571693981481</c:v>
                      </c:pt>
                      <c:pt idx="9">
                        <c:v>45469.571693981481</c:v>
                      </c:pt>
                      <c:pt idx="10">
                        <c:v>45469.571693981481</c:v>
                      </c:pt>
                    </c:numCache>
                  </c:numRef>
                </c:val>
                <c:extLst xmlns:c15="http://schemas.microsoft.com/office/drawing/2012/chart">
                  <c:ext xmlns:c16="http://schemas.microsoft.com/office/drawing/2014/chart" uri="{C3380CC4-5D6E-409C-BE32-E72D297353CC}">
                    <c16:uniqueId val="{00000007-AE2A-476B-B82F-D139302B7822}"/>
                  </c:ext>
                </c:extLst>
              </c15:ser>
            </c15:filteredBarSeries>
          </c:ext>
        </c:extLst>
      </c:barChart>
      <c:catAx>
        <c:axId val="1741978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83343"/>
        <c:crosses val="autoZero"/>
        <c:auto val="1"/>
        <c:lblAlgn val="ctr"/>
        <c:lblOffset val="100"/>
        <c:noMultiLvlLbl val="0"/>
      </c:catAx>
      <c:valAx>
        <c:axId val="174198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9785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[Optionchain.xlsm]PivotTable!PivotTable9</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PivotTable!$B$150</c:f>
              <c:strCache>
                <c:ptCount val="1"/>
                <c:pt idx="0">
                  <c:v>Sum of PE_COI</c:v>
                </c:pt>
              </c:strCache>
            </c:strRef>
          </c:tx>
          <c:spPr>
            <a:ln w="28575" cap="rnd">
              <a:solidFill>
                <a:schemeClr val="accent1"/>
              </a:solidFill>
              <a:round/>
            </a:ln>
            <a:effectLst/>
          </c:spPr>
          <c:marker>
            <c:symbol val="none"/>
          </c:marker>
          <c:cat>
            <c:multiLvlStrRef>
              <c:f>PivotTable!$A$151:$A$205</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PivotTable!$B$151:$B$205</c:f>
              <c:numCache>
                <c:formatCode>General</c:formatCode>
                <c:ptCount val="50"/>
                <c:pt idx="0">
                  <c:v>0</c:v>
                </c:pt>
                <c:pt idx="1">
                  <c:v>120215</c:v>
                </c:pt>
                <c:pt idx="2">
                  <c:v>240354</c:v>
                </c:pt>
                <c:pt idx="3">
                  <c:v>120821</c:v>
                </c:pt>
                <c:pt idx="4">
                  <c:v>118794</c:v>
                </c:pt>
                <c:pt idx="5">
                  <c:v>117874</c:v>
                </c:pt>
                <c:pt idx="6">
                  <c:v>116062</c:v>
                </c:pt>
                <c:pt idx="7">
                  <c:v>117323</c:v>
                </c:pt>
                <c:pt idx="8">
                  <c:v>118247</c:v>
                </c:pt>
                <c:pt idx="9">
                  <c:v>119969</c:v>
                </c:pt>
                <c:pt idx="10">
                  <c:v>120455</c:v>
                </c:pt>
                <c:pt idx="11">
                  <c:v>121935</c:v>
                </c:pt>
                <c:pt idx="12">
                  <c:v>121473</c:v>
                </c:pt>
                <c:pt idx="13">
                  <c:v>119890</c:v>
                </c:pt>
                <c:pt idx="14">
                  <c:v>119117</c:v>
                </c:pt>
                <c:pt idx="15">
                  <c:v>117892</c:v>
                </c:pt>
                <c:pt idx="16">
                  <c:v>117834</c:v>
                </c:pt>
                <c:pt idx="17">
                  <c:v>117827</c:v>
                </c:pt>
                <c:pt idx="18">
                  <c:v>119154</c:v>
                </c:pt>
                <c:pt idx="19">
                  <c:v>119149</c:v>
                </c:pt>
                <c:pt idx="20">
                  <c:v>119255</c:v>
                </c:pt>
                <c:pt idx="21">
                  <c:v>119490</c:v>
                </c:pt>
                <c:pt idx="22">
                  <c:v>120419</c:v>
                </c:pt>
                <c:pt idx="23">
                  <c:v>120720</c:v>
                </c:pt>
                <c:pt idx="24">
                  <c:v>120157</c:v>
                </c:pt>
                <c:pt idx="25">
                  <c:v>117545</c:v>
                </c:pt>
                <c:pt idx="26">
                  <c:v>118127</c:v>
                </c:pt>
                <c:pt idx="27">
                  <c:v>117920</c:v>
                </c:pt>
                <c:pt idx="28">
                  <c:v>118955</c:v>
                </c:pt>
                <c:pt idx="29">
                  <c:v>119437</c:v>
                </c:pt>
                <c:pt idx="30">
                  <c:v>118831</c:v>
                </c:pt>
                <c:pt idx="31">
                  <c:v>119011</c:v>
                </c:pt>
                <c:pt idx="32">
                  <c:v>119537</c:v>
                </c:pt>
                <c:pt idx="33">
                  <c:v>120113</c:v>
                </c:pt>
                <c:pt idx="34">
                  <c:v>121693</c:v>
                </c:pt>
                <c:pt idx="35">
                  <c:v>121876</c:v>
                </c:pt>
                <c:pt idx="36">
                  <c:v>122215</c:v>
                </c:pt>
                <c:pt idx="37">
                  <c:v>121337</c:v>
                </c:pt>
                <c:pt idx="38">
                  <c:v>121863</c:v>
                </c:pt>
                <c:pt idx="39">
                  <c:v>120831</c:v>
                </c:pt>
                <c:pt idx="40">
                  <c:v>118140</c:v>
                </c:pt>
                <c:pt idx="41">
                  <c:v>116184</c:v>
                </c:pt>
                <c:pt idx="42">
                  <c:v>231340</c:v>
                </c:pt>
                <c:pt idx="43">
                  <c:v>115169</c:v>
                </c:pt>
                <c:pt idx="44">
                  <c:v>115155</c:v>
                </c:pt>
                <c:pt idx="45">
                  <c:v>113894</c:v>
                </c:pt>
                <c:pt idx="46">
                  <c:v>112767</c:v>
                </c:pt>
                <c:pt idx="47">
                  <c:v>108726</c:v>
                </c:pt>
                <c:pt idx="48">
                  <c:v>101695</c:v>
                </c:pt>
                <c:pt idx="49">
                  <c:v>100768</c:v>
                </c:pt>
              </c:numCache>
            </c:numRef>
          </c:val>
          <c:smooth val="0"/>
          <c:extLst>
            <c:ext xmlns:c16="http://schemas.microsoft.com/office/drawing/2014/chart" uri="{C3380CC4-5D6E-409C-BE32-E72D297353CC}">
              <c16:uniqueId val="{00000000-746C-4DEB-B758-87E38423A1C4}"/>
            </c:ext>
          </c:extLst>
        </c:ser>
        <c:ser>
          <c:idx val="1"/>
          <c:order val="1"/>
          <c:tx>
            <c:strRef>
              <c:f>PivotTable!$C$150</c:f>
              <c:strCache>
                <c:ptCount val="1"/>
                <c:pt idx="0">
                  <c:v>Sum of CE_COI</c:v>
                </c:pt>
              </c:strCache>
            </c:strRef>
          </c:tx>
          <c:spPr>
            <a:ln w="28575" cap="rnd">
              <a:solidFill>
                <a:schemeClr val="accent2"/>
              </a:solidFill>
              <a:round/>
            </a:ln>
            <a:effectLst/>
          </c:spPr>
          <c:marker>
            <c:symbol val="none"/>
          </c:marker>
          <c:cat>
            <c:multiLvlStrRef>
              <c:f>PivotTable!$A$151:$A$205</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PivotTable!$C$151:$C$205</c:f>
              <c:numCache>
                <c:formatCode>General</c:formatCode>
                <c:ptCount val="50"/>
                <c:pt idx="0">
                  <c:v>0</c:v>
                </c:pt>
                <c:pt idx="1">
                  <c:v>49743</c:v>
                </c:pt>
                <c:pt idx="2">
                  <c:v>100380</c:v>
                </c:pt>
                <c:pt idx="3">
                  <c:v>50235</c:v>
                </c:pt>
                <c:pt idx="4">
                  <c:v>49938</c:v>
                </c:pt>
                <c:pt idx="5">
                  <c:v>49283</c:v>
                </c:pt>
                <c:pt idx="6">
                  <c:v>45538</c:v>
                </c:pt>
                <c:pt idx="7">
                  <c:v>44063</c:v>
                </c:pt>
                <c:pt idx="8">
                  <c:v>41617</c:v>
                </c:pt>
                <c:pt idx="9">
                  <c:v>40548</c:v>
                </c:pt>
                <c:pt idx="10">
                  <c:v>39641</c:v>
                </c:pt>
                <c:pt idx="11">
                  <c:v>39165</c:v>
                </c:pt>
                <c:pt idx="12">
                  <c:v>39075</c:v>
                </c:pt>
                <c:pt idx="13">
                  <c:v>40885</c:v>
                </c:pt>
                <c:pt idx="14">
                  <c:v>41136</c:v>
                </c:pt>
                <c:pt idx="15">
                  <c:v>41557</c:v>
                </c:pt>
                <c:pt idx="16">
                  <c:v>41801</c:v>
                </c:pt>
                <c:pt idx="17">
                  <c:v>42667</c:v>
                </c:pt>
                <c:pt idx="18">
                  <c:v>42271</c:v>
                </c:pt>
                <c:pt idx="19">
                  <c:v>41945</c:v>
                </c:pt>
                <c:pt idx="20">
                  <c:v>42196</c:v>
                </c:pt>
                <c:pt idx="21">
                  <c:v>41984</c:v>
                </c:pt>
                <c:pt idx="22">
                  <c:v>41950</c:v>
                </c:pt>
                <c:pt idx="23">
                  <c:v>42036</c:v>
                </c:pt>
                <c:pt idx="24">
                  <c:v>42412</c:v>
                </c:pt>
                <c:pt idx="25">
                  <c:v>43743</c:v>
                </c:pt>
                <c:pt idx="26">
                  <c:v>43842</c:v>
                </c:pt>
                <c:pt idx="27">
                  <c:v>44681</c:v>
                </c:pt>
                <c:pt idx="28">
                  <c:v>44040</c:v>
                </c:pt>
                <c:pt idx="29">
                  <c:v>44316</c:v>
                </c:pt>
                <c:pt idx="30">
                  <c:v>44438</c:v>
                </c:pt>
                <c:pt idx="31">
                  <c:v>44110</c:v>
                </c:pt>
                <c:pt idx="32">
                  <c:v>43446</c:v>
                </c:pt>
                <c:pt idx="33">
                  <c:v>42968</c:v>
                </c:pt>
                <c:pt idx="34">
                  <c:v>42219</c:v>
                </c:pt>
                <c:pt idx="35">
                  <c:v>42302</c:v>
                </c:pt>
                <c:pt idx="36">
                  <c:v>42094</c:v>
                </c:pt>
                <c:pt idx="37">
                  <c:v>41069</c:v>
                </c:pt>
                <c:pt idx="38">
                  <c:v>40851</c:v>
                </c:pt>
                <c:pt idx="39">
                  <c:v>41216</c:v>
                </c:pt>
                <c:pt idx="40">
                  <c:v>40987</c:v>
                </c:pt>
                <c:pt idx="41">
                  <c:v>41102</c:v>
                </c:pt>
                <c:pt idx="42">
                  <c:v>84406</c:v>
                </c:pt>
                <c:pt idx="43">
                  <c:v>42387</c:v>
                </c:pt>
                <c:pt idx="44">
                  <c:v>42500</c:v>
                </c:pt>
                <c:pt idx="45">
                  <c:v>42569</c:v>
                </c:pt>
                <c:pt idx="46">
                  <c:v>43582</c:v>
                </c:pt>
                <c:pt idx="47">
                  <c:v>44710</c:v>
                </c:pt>
                <c:pt idx="48">
                  <c:v>47752</c:v>
                </c:pt>
                <c:pt idx="49">
                  <c:v>50153</c:v>
                </c:pt>
              </c:numCache>
            </c:numRef>
          </c:val>
          <c:smooth val="0"/>
          <c:extLst>
            <c:ext xmlns:c16="http://schemas.microsoft.com/office/drawing/2014/chart" uri="{C3380CC4-5D6E-409C-BE32-E72D297353CC}">
              <c16:uniqueId val="{00000001-746C-4DEB-B758-87E38423A1C4}"/>
            </c:ext>
          </c:extLst>
        </c:ser>
        <c:dLbls>
          <c:showLegendKey val="0"/>
          <c:showVal val="0"/>
          <c:showCatName val="0"/>
          <c:showSerName val="0"/>
          <c:showPercent val="0"/>
          <c:showBubbleSize val="0"/>
        </c:dLbls>
        <c:smooth val="0"/>
        <c:axId val="1962769455"/>
        <c:axId val="1962791535"/>
      </c:lineChart>
      <c:catAx>
        <c:axId val="1962769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791535"/>
        <c:crosses val="autoZero"/>
        <c:auto val="1"/>
        <c:lblAlgn val="ctr"/>
        <c:lblOffset val="100"/>
        <c:noMultiLvlLbl val="0"/>
      </c:catAx>
      <c:valAx>
        <c:axId val="1962791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769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[Optionchain.xlsm]PivotTable!PivotTable9</c:name>
    <c:fmtId val="5"/>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PivotTable!$B$150</c:f>
              <c:strCache>
                <c:ptCount val="1"/>
                <c:pt idx="0">
                  <c:v>Sum of PE_COI</c:v>
                </c:pt>
              </c:strCache>
            </c:strRef>
          </c:tx>
          <c:spPr>
            <a:ln w="28575" cap="rnd">
              <a:solidFill>
                <a:schemeClr val="accent1"/>
              </a:solidFill>
              <a:round/>
            </a:ln>
            <a:effectLst/>
          </c:spPr>
          <c:marker>
            <c:symbol val="none"/>
          </c:marker>
          <c:cat>
            <c:multiLvlStrRef>
              <c:f>PivotTable!$A$151:$A$205</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PivotTable!$B$151:$B$205</c:f>
              <c:numCache>
                <c:formatCode>General</c:formatCode>
                <c:ptCount val="50"/>
                <c:pt idx="0">
                  <c:v>0</c:v>
                </c:pt>
                <c:pt idx="1">
                  <c:v>120215</c:v>
                </c:pt>
                <c:pt idx="2">
                  <c:v>240354</c:v>
                </c:pt>
                <c:pt idx="3">
                  <c:v>120821</c:v>
                </c:pt>
                <c:pt idx="4">
                  <c:v>118794</c:v>
                </c:pt>
                <c:pt idx="5">
                  <c:v>117874</c:v>
                </c:pt>
                <c:pt idx="6">
                  <c:v>116062</c:v>
                </c:pt>
                <c:pt idx="7">
                  <c:v>117323</c:v>
                </c:pt>
                <c:pt idx="8">
                  <c:v>118247</c:v>
                </c:pt>
                <c:pt idx="9">
                  <c:v>119969</c:v>
                </c:pt>
                <c:pt idx="10">
                  <c:v>120455</c:v>
                </c:pt>
                <c:pt idx="11">
                  <c:v>121935</c:v>
                </c:pt>
                <c:pt idx="12">
                  <c:v>121473</c:v>
                </c:pt>
                <c:pt idx="13">
                  <c:v>119890</c:v>
                </c:pt>
                <c:pt idx="14">
                  <c:v>119117</c:v>
                </c:pt>
                <c:pt idx="15">
                  <c:v>117892</c:v>
                </c:pt>
                <c:pt idx="16">
                  <c:v>117834</c:v>
                </c:pt>
                <c:pt idx="17">
                  <c:v>117827</c:v>
                </c:pt>
                <c:pt idx="18">
                  <c:v>119154</c:v>
                </c:pt>
                <c:pt idx="19">
                  <c:v>119149</c:v>
                </c:pt>
                <c:pt idx="20">
                  <c:v>119255</c:v>
                </c:pt>
                <c:pt idx="21">
                  <c:v>119490</c:v>
                </c:pt>
                <c:pt idx="22">
                  <c:v>120419</c:v>
                </c:pt>
                <c:pt idx="23">
                  <c:v>120720</c:v>
                </c:pt>
                <c:pt idx="24">
                  <c:v>120157</c:v>
                </c:pt>
                <c:pt idx="25">
                  <c:v>117545</c:v>
                </c:pt>
                <c:pt idx="26">
                  <c:v>118127</c:v>
                </c:pt>
                <c:pt idx="27">
                  <c:v>117920</c:v>
                </c:pt>
                <c:pt idx="28">
                  <c:v>118955</c:v>
                </c:pt>
                <c:pt idx="29">
                  <c:v>119437</c:v>
                </c:pt>
                <c:pt idx="30">
                  <c:v>118831</c:v>
                </c:pt>
                <c:pt idx="31">
                  <c:v>119011</c:v>
                </c:pt>
                <c:pt idx="32">
                  <c:v>119537</c:v>
                </c:pt>
                <c:pt idx="33">
                  <c:v>120113</c:v>
                </c:pt>
                <c:pt idx="34">
                  <c:v>121693</c:v>
                </c:pt>
                <c:pt idx="35">
                  <c:v>121876</c:v>
                </c:pt>
                <c:pt idx="36">
                  <c:v>122215</c:v>
                </c:pt>
                <c:pt idx="37">
                  <c:v>121337</c:v>
                </c:pt>
                <c:pt idx="38">
                  <c:v>121863</c:v>
                </c:pt>
                <c:pt idx="39">
                  <c:v>120831</c:v>
                </c:pt>
                <c:pt idx="40">
                  <c:v>118140</c:v>
                </c:pt>
                <c:pt idx="41">
                  <c:v>116184</c:v>
                </c:pt>
                <c:pt idx="42">
                  <c:v>231340</c:v>
                </c:pt>
                <c:pt idx="43">
                  <c:v>115169</c:v>
                </c:pt>
                <c:pt idx="44">
                  <c:v>115155</c:v>
                </c:pt>
                <c:pt idx="45">
                  <c:v>113894</c:v>
                </c:pt>
                <c:pt idx="46">
                  <c:v>112767</c:v>
                </c:pt>
                <c:pt idx="47">
                  <c:v>108726</c:v>
                </c:pt>
                <c:pt idx="48">
                  <c:v>101695</c:v>
                </c:pt>
                <c:pt idx="49">
                  <c:v>100768</c:v>
                </c:pt>
              </c:numCache>
            </c:numRef>
          </c:val>
          <c:smooth val="0"/>
          <c:extLst>
            <c:ext xmlns:c16="http://schemas.microsoft.com/office/drawing/2014/chart" uri="{C3380CC4-5D6E-409C-BE32-E72D297353CC}">
              <c16:uniqueId val="{00000000-FA96-4211-8718-618926104789}"/>
            </c:ext>
          </c:extLst>
        </c:ser>
        <c:ser>
          <c:idx val="1"/>
          <c:order val="1"/>
          <c:tx>
            <c:strRef>
              <c:f>PivotTable!$C$150</c:f>
              <c:strCache>
                <c:ptCount val="1"/>
                <c:pt idx="0">
                  <c:v>Sum of CE_COI</c:v>
                </c:pt>
              </c:strCache>
            </c:strRef>
          </c:tx>
          <c:spPr>
            <a:ln w="28575" cap="rnd">
              <a:solidFill>
                <a:schemeClr val="accent2"/>
              </a:solidFill>
              <a:round/>
            </a:ln>
            <a:effectLst/>
          </c:spPr>
          <c:marker>
            <c:symbol val="none"/>
          </c:marker>
          <c:cat>
            <c:multiLvlStrRef>
              <c:f>PivotTable!$A$151:$A$205</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PivotTable!$C$151:$C$205</c:f>
              <c:numCache>
                <c:formatCode>General</c:formatCode>
                <c:ptCount val="50"/>
                <c:pt idx="0">
                  <c:v>0</c:v>
                </c:pt>
                <c:pt idx="1">
                  <c:v>49743</c:v>
                </c:pt>
                <c:pt idx="2">
                  <c:v>100380</c:v>
                </c:pt>
                <c:pt idx="3">
                  <c:v>50235</c:v>
                </c:pt>
                <c:pt idx="4">
                  <c:v>49938</c:v>
                </c:pt>
                <c:pt idx="5">
                  <c:v>49283</c:v>
                </c:pt>
                <c:pt idx="6">
                  <c:v>45538</c:v>
                </c:pt>
                <c:pt idx="7">
                  <c:v>44063</c:v>
                </c:pt>
                <c:pt idx="8">
                  <c:v>41617</c:v>
                </c:pt>
                <c:pt idx="9">
                  <c:v>40548</c:v>
                </c:pt>
                <c:pt idx="10">
                  <c:v>39641</c:v>
                </c:pt>
                <c:pt idx="11">
                  <c:v>39165</c:v>
                </c:pt>
                <c:pt idx="12">
                  <c:v>39075</c:v>
                </c:pt>
                <c:pt idx="13">
                  <c:v>40885</c:v>
                </c:pt>
                <c:pt idx="14">
                  <c:v>41136</c:v>
                </c:pt>
                <c:pt idx="15">
                  <c:v>41557</c:v>
                </c:pt>
                <c:pt idx="16">
                  <c:v>41801</c:v>
                </c:pt>
                <c:pt idx="17">
                  <c:v>42667</c:v>
                </c:pt>
                <c:pt idx="18">
                  <c:v>42271</c:v>
                </c:pt>
                <c:pt idx="19">
                  <c:v>41945</c:v>
                </c:pt>
                <c:pt idx="20">
                  <c:v>42196</c:v>
                </c:pt>
                <c:pt idx="21">
                  <c:v>41984</c:v>
                </c:pt>
                <c:pt idx="22">
                  <c:v>41950</c:v>
                </c:pt>
                <c:pt idx="23">
                  <c:v>42036</c:v>
                </c:pt>
                <c:pt idx="24">
                  <c:v>42412</c:v>
                </c:pt>
                <c:pt idx="25">
                  <c:v>43743</c:v>
                </c:pt>
                <c:pt idx="26">
                  <c:v>43842</c:v>
                </c:pt>
                <c:pt idx="27">
                  <c:v>44681</c:v>
                </c:pt>
                <c:pt idx="28">
                  <c:v>44040</c:v>
                </c:pt>
                <c:pt idx="29">
                  <c:v>44316</c:v>
                </c:pt>
                <c:pt idx="30">
                  <c:v>44438</c:v>
                </c:pt>
                <c:pt idx="31">
                  <c:v>44110</c:v>
                </c:pt>
                <c:pt idx="32">
                  <c:v>43446</c:v>
                </c:pt>
                <c:pt idx="33">
                  <c:v>42968</c:v>
                </c:pt>
                <c:pt idx="34">
                  <c:v>42219</c:v>
                </c:pt>
                <c:pt idx="35">
                  <c:v>42302</c:v>
                </c:pt>
                <c:pt idx="36">
                  <c:v>42094</c:v>
                </c:pt>
                <c:pt idx="37">
                  <c:v>41069</c:v>
                </c:pt>
                <c:pt idx="38">
                  <c:v>40851</c:v>
                </c:pt>
                <c:pt idx="39">
                  <c:v>41216</c:v>
                </c:pt>
                <c:pt idx="40">
                  <c:v>40987</c:v>
                </c:pt>
                <c:pt idx="41">
                  <c:v>41102</c:v>
                </c:pt>
                <c:pt idx="42">
                  <c:v>84406</c:v>
                </c:pt>
                <c:pt idx="43">
                  <c:v>42387</c:v>
                </c:pt>
                <c:pt idx="44">
                  <c:v>42500</c:v>
                </c:pt>
                <c:pt idx="45">
                  <c:v>42569</c:v>
                </c:pt>
                <c:pt idx="46">
                  <c:v>43582</c:v>
                </c:pt>
                <c:pt idx="47">
                  <c:v>44710</c:v>
                </c:pt>
                <c:pt idx="48">
                  <c:v>47752</c:v>
                </c:pt>
                <c:pt idx="49">
                  <c:v>50153</c:v>
                </c:pt>
              </c:numCache>
            </c:numRef>
          </c:val>
          <c:smooth val="0"/>
          <c:extLst>
            <c:ext xmlns:c16="http://schemas.microsoft.com/office/drawing/2014/chart" uri="{C3380CC4-5D6E-409C-BE32-E72D297353CC}">
              <c16:uniqueId val="{00000001-FA96-4211-8718-618926104789}"/>
            </c:ext>
          </c:extLst>
        </c:ser>
        <c:dLbls>
          <c:showLegendKey val="0"/>
          <c:showVal val="0"/>
          <c:showCatName val="0"/>
          <c:showSerName val="0"/>
          <c:showPercent val="0"/>
          <c:showBubbleSize val="0"/>
        </c:dLbls>
        <c:smooth val="0"/>
        <c:axId val="1962774735"/>
        <c:axId val="1962787695"/>
      </c:lineChart>
      <c:catAx>
        <c:axId val="1962774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787695"/>
        <c:crosses val="autoZero"/>
        <c:auto val="1"/>
        <c:lblAlgn val="ctr"/>
        <c:lblOffset val="100"/>
        <c:noMultiLvlLbl val="0"/>
      </c:catAx>
      <c:valAx>
        <c:axId val="1962787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7747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[Optionchain.xlsm]PivotTable!PivotTable4</c:name>
    <c:fmtId val="8"/>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2251800375486874E-2"/>
          <c:y val="0.20629192184310294"/>
          <c:w val="0.70875594287368882"/>
          <c:h val="0.56695902595508896"/>
        </c:manualLayout>
      </c:layout>
      <c:lineChart>
        <c:grouping val="standard"/>
        <c:varyColors val="0"/>
        <c:ser>
          <c:idx val="0"/>
          <c:order val="0"/>
          <c:tx>
            <c:strRef>
              <c:f>PivotTable!$B$3:$B$5</c:f>
              <c:strCache>
                <c:ptCount val="1"/>
                <c:pt idx="0">
                  <c:v>22300 - Sum of PE_OI</c:v>
                </c:pt>
              </c:strCache>
            </c:strRef>
          </c:tx>
          <c:spPr>
            <a:ln w="28575" cap="rnd">
              <a:solidFill>
                <a:schemeClr val="accent1"/>
              </a:solidFill>
              <a:round/>
            </a:ln>
            <a:effectLst/>
          </c:spPr>
          <c:marker>
            <c:symbol val="none"/>
          </c:marker>
          <c:cat>
            <c:multiLvlStrRef>
              <c:f>PivotTable!$A$6:$A$60</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PivotTable!$B$6:$B$60</c:f>
              <c:numCache>
                <c:formatCode>General</c:formatCode>
                <c:ptCount val="50"/>
                <c:pt idx="0">
                  <c:v>169929</c:v>
                </c:pt>
                <c:pt idx="1">
                  <c:v>169602</c:v>
                </c:pt>
                <c:pt idx="2">
                  <c:v>339128</c:v>
                </c:pt>
                <c:pt idx="3">
                  <c:v>170208</c:v>
                </c:pt>
                <c:pt idx="4">
                  <c:v>168181</c:v>
                </c:pt>
                <c:pt idx="5">
                  <c:v>167261</c:v>
                </c:pt>
                <c:pt idx="6">
                  <c:v>165449</c:v>
                </c:pt>
                <c:pt idx="7">
                  <c:v>166710</c:v>
                </c:pt>
                <c:pt idx="8">
                  <c:v>167634</c:v>
                </c:pt>
                <c:pt idx="9">
                  <c:v>169356</c:v>
                </c:pt>
                <c:pt idx="10">
                  <c:v>169842</c:v>
                </c:pt>
                <c:pt idx="11">
                  <c:v>171322</c:v>
                </c:pt>
                <c:pt idx="12">
                  <c:v>170860</c:v>
                </c:pt>
                <c:pt idx="13">
                  <c:v>169277</c:v>
                </c:pt>
                <c:pt idx="14">
                  <c:v>168504</c:v>
                </c:pt>
                <c:pt idx="15">
                  <c:v>167279</c:v>
                </c:pt>
                <c:pt idx="16">
                  <c:v>167221</c:v>
                </c:pt>
                <c:pt idx="17">
                  <c:v>167214</c:v>
                </c:pt>
                <c:pt idx="18">
                  <c:v>168541</c:v>
                </c:pt>
                <c:pt idx="19">
                  <c:v>168536</c:v>
                </c:pt>
                <c:pt idx="20">
                  <c:v>168642</c:v>
                </c:pt>
                <c:pt idx="21">
                  <c:v>168877</c:v>
                </c:pt>
                <c:pt idx="22">
                  <c:v>169806</c:v>
                </c:pt>
                <c:pt idx="23">
                  <c:v>170107</c:v>
                </c:pt>
                <c:pt idx="24">
                  <c:v>169544</c:v>
                </c:pt>
                <c:pt idx="25">
                  <c:v>166932</c:v>
                </c:pt>
                <c:pt idx="26">
                  <c:v>167514</c:v>
                </c:pt>
                <c:pt idx="27">
                  <c:v>167307</c:v>
                </c:pt>
                <c:pt idx="28">
                  <c:v>168342</c:v>
                </c:pt>
                <c:pt idx="29">
                  <c:v>168824</c:v>
                </c:pt>
                <c:pt idx="30">
                  <c:v>168218</c:v>
                </c:pt>
                <c:pt idx="31">
                  <c:v>168398</c:v>
                </c:pt>
                <c:pt idx="32">
                  <c:v>168924</c:v>
                </c:pt>
                <c:pt idx="33">
                  <c:v>169500</c:v>
                </c:pt>
                <c:pt idx="34">
                  <c:v>171080</c:v>
                </c:pt>
                <c:pt idx="35">
                  <c:v>171263</c:v>
                </c:pt>
                <c:pt idx="36">
                  <c:v>171602</c:v>
                </c:pt>
                <c:pt idx="37">
                  <c:v>170724</c:v>
                </c:pt>
                <c:pt idx="38">
                  <c:v>171250</c:v>
                </c:pt>
                <c:pt idx="39">
                  <c:v>170218</c:v>
                </c:pt>
                <c:pt idx="40">
                  <c:v>167527</c:v>
                </c:pt>
                <c:pt idx="41">
                  <c:v>165571</c:v>
                </c:pt>
                <c:pt idx="42">
                  <c:v>330114</c:v>
                </c:pt>
                <c:pt idx="43">
                  <c:v>164556</c:v>
                </c:pt>
                <c:pt idx="44">
                  <c:v>164542</c:v>
                </c:pt>
                <c:pt idx="45">
                  <c:v>163281</c:v>
                </c:pt>
                <c:pt idx="46">
                  <c:v>162154</c:v>
                </c:pt>
                <c:pt idx="47">
                  <c:v>158113</c:v>
                </c:pt>
                <c:pt idx="48">
                  <c:v>151082</c:v>
                </c:pt>
                <c:pt idx="49">
                  <c:v>150155</c:v>
                </c:pt>
              </c:numCache>
            </c:numRef>
          </c:val>
          <c:smooth val="0"/>
          <c:extLst>
            <c:ext xmlns:c16="http://schemas.microsoft.com/office/drawing/2014/chart" uri="{C3380CC4-5D6E-409C-BE32-E72D297353CC}">
              <c16:uniqueId val="{00000000-EC2C-4BD4-8C3A-A4016AD1BB02}"/>
            </c:ext>
          </c:extLst>
        </c:ser>
        <c:ser>
          <c:idx val="1"/>
          <c:order val="1"/>
          <c:tx>
            <c:strRef>
              <c:f>PivotTable!$C$3:$C$5</c:f>
              <c:strCache>
                <c:ptCount val="1"/>
                <c:pt idx="0">
                  <c:v>22300 - Sum of CE_OI</c:v>
                </c:pt>
              </c:strCache>
            </c:strRef>
          </c:tx>
          <c:spPr>
            <a:ln w="28575" cap="rnd">
              <a:solidFill>
                <a:schemeClr val="accent2"/>
              </a:solidFill>
              <a:round/>
            </a:ln>
            <a:effectLst/>
          </c:spPr>
          <c:marker>
            <c:symbol val="none"/>
          </c:marker>
          <c:cat>
            <c:multiLvlStrRef>
              <c:f>PivotTable!$A$6:$A$60</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PivotTable!$C$6:$C$60</c:f>
              <c:numCache>
                <c:formatCode>General</c:formatCode>
                <c:ptCount val="50"/>
                <c:pt idx="0">
                  <c:v>54514</c:v>
                </c:pt>
                <c:pt idx="1">
                  <c:v>55015</c:v>
                </c:pt>
                <c:pt idx="2">
                  <c:v>110924</c:v>
                </c:pt>
                <c:pt idx="3">
                  <c:v>55507</c:v>
                </c:pt>
                <c:pt idx="4">
                  <c:v>55210</c:v>
                </c:pt>
                <c:pt idx="5">
                  <c:v>54555</c:v>
                </c:pt>
                <c:pt idx="6">
                  <c:v>50810</c:v>
                </c:pt>
                <c:pt idx="7">
                  <c:v>49335</c:v>
                </c:pt>
                <c:pt idx="8">
                  <c:v>46889</c:v>
                </c:pt>
                <c:pt idx="9">
                  <c:v>45820</c:v>
                </c:pt>
                <c:pt idx="10">
                  <c:v>44913</c:v>
                </c:pt>
                <c:pt idx="11">
                  <c:v>44437</c:v>
                </c:pt>
                <c:pt idx="12">
                  <c:v>44347</c:v>
                </c:pt>
                <c:pt idx="13">
                  <c:v>46157</c:v>
                </c:pt>
                <c:pt idx="14">
                  <c:v>46408</c:v>
                </c:pt>
                <c:pt idx="15">
                  <c:v>46829</c:v>
                </c:pt>
                <c:pt idx="16">
                  <c:v>47073</c:v>
                </c:pt>
                <c:pt idx="17">
                  <c:v>47939</c:v>
                </c:pt>
                <c:pt idx="18">
                  <c:v>47543</c:v>
                </c:pt>
                <c:pt idx="19">
                  <c:v>47217</c:v>
                </c:pt>
                <c:pt idx="20">
                  <c:v>47468</c:v>
                </c:pt>
                <c:pt idx="21">
                  <c:v>47256</c:v>
                </c:pt>
                <c:pt idx="22">
                  <c:v>47222</c:v>
                </c:pt>
                <c:pt idx="23">
                  <c:v>47308</c:v>
                </c:pt>
                <c:pt idx="24">
                  <c:v>47684</c:v>
                </c:pt>
                <c:pt idx="25">
                  <c:v>49015</c:v>
                </c:pt>
                <c:pt idx="26">
                  <c:v>49114</c:v>
                </c:pt>
                <c:pt idx="27">
                  <c:v>49953</c:v>
                </c:pt>
                <c:pt idx="28">
                  <c:v>49312</c:v>
                </c:pt>
                <c:pt idx="29">
                  <c:v>49588</c:v>
                </c:pt>
                <c:pt idx="30">
                  <c:v>49710</c:v>
                </c:pt>
                <c:pt idx="31">
                  <c:v>49382</c:v>
                </c:pt>
                <c:pt idx="32">
                  <c:v>48718</c:v>
                </c:pt>
                <c:pt idx="33">
                  <c:v>48240</c:v>
                </c:pt>
                <c:pt idx="34">
                  <c:v>47491</c:v>
                </c:pt>
                <c:pt idx="35">
                  <c:v>47574</c:v>
                </c:pt>
                <c:pt idx="36">
                  <c:v>47366</c:v>
                </c:pt>
                <c:pt idx="37">
                  <c:v>46341</c:v>
                </c:pt>
                <c:pt idx="38">
                  <c:v>46123</c:v>
                </c:pt>
                <c:pt idx="39">
                  <c:v>46488</c:v>
                </c:pt>
                <c:pt idx="40">
                  <c:v>46259</c:v>
                </c:pt>
                <c:pt idx="41">
                  <c:v>46374</c:v>
                </c:pt>
                <c:pt idx="42">
                  <c:v>94950</c:v>
                </c:pt>
                <c:pt idx="43">
                  <c:v>47659</c:v>
                </c:pt>
                <c:pt idx="44">
                  <c:v>47772</c:v>
                </c:pt>
                <c:pt idx="45">
                  <c:v>47841</c:v>
                </c:pt>
                <c:pt idx="46">
                  <c:v>48854</c:v>
                </c:pt>
                <c:pt idx="47">
                  <c:v>49982</c:v>
                </c:pt>
                <c:pt idx="48">
                  <c:v>53024</c:v>
                </c:pt>
                <c:pt idx="49">
                  <c:v>55425</c:v>
                </c:pt>
              </c:numCache>
            </c:numRef>
          </c:val>
          <c:smooth val="0"/>
          <c:extLst>
            <c:ext xmlns:c16="http://schemas.microsoft.com/office/drawing/2014/chart" uri="{C3380CC4-5D6E-409C-BE32-E72D297353CC}">
              <c16:uniqueId val="{00000001-EC2C-4BD4-8C3A-A4016AD1BB02}"/>
            </c:ext>
          </c:extLst>
        </c:ser>
        <c:dLbls>
          <c:showLegendKey val="0"/>
          <c:showVal val="0"/>
          <c:showCatName val="0"/>
          <c:showSerName val="0"/>
          <c:showPercent val="0"/>
          <c:showBubbleSize val="0"/>
        </c:dLbls>
        <c:smooth val="0"/>
        <c:axId val="1972808111"/>
        <c:axId val="1972798991"/>
      </c:lineChart>
      <c:catAx>
        <c:axId val="1972808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798991"/>
        <c:crosses val="autoZero"/>
        <c:auto val="1"/>
        <c:lblAlgn val="ctr"/>
        <c:lblOffset val="100"/>
        <c:noMultiLvlLbl val="0"/>
      </c:catAx>
      <c:valAx>
        <c:axId val="1972798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8081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[Optionchain.xlsm]PivotTable!PivotTable9</c:name>
    <c:fmtId val="9"/>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PivotTable!$B$150</c:f>
              <c:strCache>
                <c:ptCount val="1"/>
                <c:pt idx="0">
                  <c:v>Sum of PE_COI</c:v>
                </c:pt>
              </c:strCache>
            </c:strRef>
          </c:tx>
          <c:spPr>
            <a:ln w="28575" cap="rnd">
              <a:solidFill>
                <a:schemeClr val="accent1"/>
              </a:solidFill>
              <a:round/>
            </a:ln>
            <a:effectLst/>
          </c:spPr>
          <c:marker>
            <c:symbol val="none"/>
          </c:marker>
          <c:cat>
            <c:multiLvlStrRef>
              <c:f>PivotTable!$A$151:$A$205</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PivotTable!$B$151:$B$205</c:f>
              <c:numCache>
                <c:formatCode>General</c:formatCode>
                <c:ptCount val="50"/>
                <c:pt idx="0">
                  <c:v>0</c:v>
                </c:pt>
                <c:pt idx="1">
                  <c:v>120215</c:v>
                </c:pt>
                <c:pt idx="2">
                  <c:v>240354</c:v>
                </c:pt>
                <c:pt idx="3">
                  <c:v>120821</c:v>
                </c:pt>
                <c:pt idx="4">
                  <c:v>118794</c:v>
                </c:pt>
                <c:pt idx="5">
                  <c:v>117874</c:v>
                </c:pt>
                <c:pt idx="6">
                  <c:v>116062</c:v>
                </c:pt>
                <c:pt idx="7">
                  <c:v>117323</c:v>
                </c:pt>
                <c:pt idx="8">
                  <c:v>118247</c:v>
                </c:pt>
                <c:pt idx="9">
                  <c:v>119969</c:v>
                </c:pt>
                <c:pt idx="10">
                  <c:v>120455</c:v>
                </c:pt>
                <c:pt idx="11">
                  <c:v>121935</c:v>
                </c:pt>
                <c:pt idx="12">
                  <c:v>121473</c:v>
                </c:pt>
                <c:pt idx="13">
                  <c:v>119890</c:v>
                </c:pt>
                <c:pt idx="14">
                  <c:v>119117</c:v>
                </c:pt>
                <c:pt idx="15">
                  <c:v>117892</c:v>
                </c:pt>
                <c:pt idx="16">
                  <c:v>117834</c:v>
                </c:pt>
                <c:pt idx="17">
                  <c:v>117827</c:v>
                </c:pt>
                <c:pt idx="18">
                  <c:v>119154</c:v>
                </c:pt>
                <c:pt idx="19">
                  <c:v>119149</c:v>
                </c:pt>
                <c:pt idx="20">
                  <c:v>119255</c:v>
                </c:pt>
                <c:pt idx="21">
                  <c:v>119490</c:v>
                </c:pt>
                <c:pt idx="22">
                  <c:v>120419</c:v>
                </c:pt>
                <c:pt idx="23">
                  <c:v>120720</c:v>
                </c:pt>
                <c:pt idx="24">
                  <c:v>120157</c:v>
                </c:pt>
                <c:pt idx="25">
                  <c:v>117545</c:v>
                </c:pt>
                <c:pt idx="26">
                  <c:v>118127</c:v>
                </c:pt>
                <c:pt idx="27">
                  <c:v>117920</c:v>
                </c:pt>
                <c:pt idx="28">
                  <c:v>118955</c:v>
                </c:pt>
                <c:pt idx="29">
                  <c:v>119437</c:v>
                </c:pt>
                <c:pt idx="30">
                  <c:v>118831</c:v>
                </c:pt>
                <c:pt idx="31">
                  <c:v>119011</c:v>
                </c:pt>
                <c:pt idx="32">
                  <c:v>119537</c:v>
                </c:pt>
                <c:pt idx="33">
                  <c:v>120113</c:v>
                </c:pt>
                <c:pt idx="34">
                  <c:v>121693</c:v>
                </c:pt>
                <c:pt idx="35">
                  <c:v>121876</c:v>
                </c:pt>
                <c:pt idx="36">
                  <c:v>122215</c:v>
                </c:pt>
                <c:pt idx="37">
                  <c:v>121337</c:v>
                </c:pt>
                <c:pt idx="38">
                  <c:v>121863</c:v>
                </c:pt>
                <c:pt idx="39">
                  <c:v>120831</c:v>
                </c:pt>
                <c:pt idx="40">
                  <c:v>118140</c:v>
                </c:pt>
                <c:pt idx="41">
                  <c:v>116184</c:v>
                </c:pt>
                <c:pt idx="42">
                  <c:v>231340</c:v>
                </c:pt>
                <c:pt idx="43">
                  <c:v>115169</c:v>
                </c:pt>
                <c:pt idx="44">
                  <c:v>115155</c:v>
                </c:pt>
                <c:pt idx="45">
                  <c:v>113894</c:v>
                </c:pt>
                <c:pt idx="46">
                  <c:v>112767</c:v>
                </c:pt>
                <c:pt idx="47">
                  <c:v>108726</c:v>
                </c:pt>
                <c:pt idx="48">
                  <c:v>101695</c:v>
                </c:pt>
                <c:pt idx="49">
                  <c:v>100768</c:v>
                </c:pt>
              </c:numCache>
            </c:numRef>
          </c:val>
          <c:smooth val="0"/>
          <c:extLst>
            <c:ext xmlns:c16="http://schemas.microsoft.com/office/drawing/2014/chart" uri="{C3380CC4-5D6E-409C-BE32-E72D297353CC}">
              <c16:uniqueId val="{00000000-0A27-47DB-BE21-B41C3BB945FB}"/>
            </c:ext>
          </c:extLst>
        </c:ser>
        <c:ser>
          <c:idx val="1"/>
          <c:order val="1"/>
          <c:tx>
            <c:strRef>
              <c:f>PivotTable!$C$150</c:f>
              <c:strCache>
                <c:ptCount val="1"/>
                <c:pt idx="0">
                  <c:v>Sum of CE_COI</c:v>
                </c:pt>
              </c:strCache>
            </c:strRef>
          </c:tx>
          <c:spPr>
            <a:ln w="28575" cap="rnd">
              <a:solidFill>
                <a:schemeClr val="accent2"/>
              </a:solidFill>
              <a:round/>
            </a:ln>
            <a:effectLst/>
          </c:spPr>
          <c:marker>
            <c:symbol val="none"/>
          </c:marker>
          <c:cat>
            <c:multiLvlStrRef>
              <c:f>PivotTable!$A$151:$A$205</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PivotTable!$C$151:$C$205</c:f>
              <c:numCache>
                <c:formatCode>General</c:formatCode>
                <c:ptCount val="50"/>
                <c:pt idx="0">
                  <c:v>0</c:v>
                </c:pt>
                <c:pt idx="1">
                  <c:v>49743</c:v>
                </c:pt>
                <c:pt idx="2">
                  <c:v>100380</c:v>
                </c:pt>
                <c:pt idx="3">
                  <c:v>50235</c:v>
                </c:pt>
                <c:pt idx="4">
                  <c:v>49938</c:v>
                </c:pt>
                <c:pt idx="5">
                  <c:v>49283</c:v>
                </c:pt>
                <c:pt idx="6">
                  <c:v>45538</c:v>
                </c:pt>
                <c:pt idx="7">
                  <c:v>44063</c:v>
                </c:pt>
                <c:pt idx="8">
                  <c:v>41617</c:v>
                </c:pt>
                <c:pt idx="9">
                  <c:v>40548</c:v>
                </c:pt>
                <c:pt idx="10">
                  <c:v>39641</c:v>
                </c:pt>
                <c:pt idx="11">
                  <c:v>39165</c:v>
                </c:pt>
                <c:pt idx="12">
                  <c:v>39075</c:v>
                </c:pt>
                <c:pt idx="13">
                  <c:v>40885</c:v>
                </c:pt>
                <c:pt idx="14">
                  <c:v>41136</c:v>
                </c:pt>
                <c:pt idx="15">
                  <c:v>41557</c:v>
                </c:pt>
                <c:pt idx="16">
                  <c:v>41801</c:v>
                </c:pt>
                <c:pt idx="17">
                  <c:v>42667</c:v>
                </c:pt>
                <c:pt idx="18">
                  <c:v>42271</c:v>
                </c:pt>
                <c:pt idx="19">
                  <c:v>41945</c:v>
                </c:pt>
                <c:pt idx="20">
                  <c:v>42196</c:v>
                </c:pt>
                <c:pt idx="21">
                  <c:v>41984</c:v>
                </c:pt>
                <c:pt idx="22">
                  <c:v>41950</c:v>
                </c:pt>
                <c:pt idx="23">
                  <c:v>42036</c:v>
                </c:pt>
                <c:pt idx="24">
                  <c:v>42412</c:v>
                </c:pt>
                <c:pt idx="25">
                  <c:v>43743</c:v>
                </c:pt>
                <c:pt idx="26">
                  <c:v>43842</c:v>
                </c:pt>
                <c:pt idx="27">
                  <c:v>44681</c:v>
                </c:pt>
                <c:pt idx="28">
                  <c:v>44040</c:v>
                </c:pt>
                <c:pt idx="29">
                  <c:v>44316</c:v>
                </c:pt>
                <c:pt idx="30">
                  <c:v>44438</c:v>
                </c:pt>
                <c:pt idx="31">
                  <c:v>44110</c:v>
                </c:pt>
                <c:pt idx="32">
                  <c:v>43446</c:v>
                </c:pt>
                <c:pt idx="33">
                  <c:v>42968</c:v>
                </c:pt>
                <c:pt idx="34">
                  <c:v>42219</c:v>
                </c:pt>
                <c:pt idx="35">
                  <c:v>42302</c:v>
                </c:pt>
                <c:pt idx="36">
                  <c:v>42094</c:v>
                </c:pt>
                <c:pt idx="37">
                  <c:v>41069</c:v>
                </c:pt>
                <c:pt idx="38">
                  <c:v>40851</c:v>
                </c:pt>
                <c:pt idx="39">
                  <c:v>41216</c:v>
                </c:pt>
                <c:pt idx="40">
                  <c:v>40987</c:v>
                </c:pt>
                <c:pt idx="41">
                  <c:v>41102</c:v>
                </c:pt>
                <c:pt idx="42">
                  <c:v>84406</c:v>
                </c:pt>
                <c:pt idx="43">
                  <c:v>42387</c:v>
                </c:pt>
                <c:pt idx="44">
                  <c:v>42500</c:v>
                </c:pt>
                <c:pt idx="45">
                  <c:v>42569</c:v>
                </c:pt>
                <c:pt idx="46">
                  <c:v>43582</c:v>
                </c:pt>
                <c:pt idx="47">
                  <c:v>44710</c:v>
                </c:pt>
                <c:pt idx="48">
                  <c:v>47752</c:v>
                </c:pt>
                <c:pt idx="49">
                  <c:v>50153</c:v>
                </c:pt>
              </c:numCache>
            </c:numRef>
          </c:val>
          <c:smooth val="0"/>
          <c:extLst>
            <c:ext xmlns:c16="http://schemas.microsoft.com/office/drawing/2014/chart" uri="{C3380CC4-5D6E-409C-BE32-E72D297353CC}">
              <c16:uniqueId val="{00000001-0A27-47DB-BE21-B41C3BB945FB}"/>
            </c:ext>
          </c:extLst>
        </c:ser>
        <c:dLbls>
          <c:showLegendKey val="0"/>
          <c:showVal val="0"/>
          <c:showCatName val="0"/>
          <c:showSerName val="0"/>
          <c:showPercent val="0"/>
          <c:showBubbleSize val="0"/>
        </c:dLbls>
        <c:smooth val="0"/>
        <c:axId val="1962765615"/>
        <c:axId val="1962757455"/>
      </c:lineChart>
      <c:catAx>
        <c:axId val="1962765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757455"/>
        <c:crosses val="autoZero"/>
        <c:auto val="1"/>
        <c:lblAlgn val="ctr"/>
        <c:lblOffset val="100"/>
        <c:noMultiLvlLbl val="0"/>
      </c:catAx>
      <c:valAx>
        <c:axId val="19627574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765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[Optionchain.xlsm]PivotTable!PivotTable9</c:name>
    <c:fmtId val="1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PivotTable!$B$150</c:f>
              <c:strCache>
                <c:ptCount val="1"/>
                <c:pt idx="0">
                  <c:v>Sum of PE_COI</c:v>
                </c:pt>
              </c:strCache>
            </c:strRef>
          </c:tx>
          <c:spPr>
            <a:ln w="28575" cap="rnd">
              <a:solidFill>
                <a:schemeClr val="accent1"/>
              </a:solidFill>
              <a:round/>
            </a:ln>
            <a:effectLst/>
          </c:spPr>
          <c:marker>
            <c:symbol val="none"/>
          </c:marker>
          <c:cat>
            <c:multiLvlStrRef>
              <c:f>PivotTable!$A$151:$A$205</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PivotTable!$B$151:$B$205</c:f>
              <c:numCache>
                <c:formatCode>General</c:formatCode>
                <c:ptCount val="50"/>
                <c:pt idx="0">
                  <c:v>0</c:v>
                </c:pt>
                <c:pt idx="1">
                  <c:v>120215</c:v>
                </c:pt>
                <c:pt idx="2">
                  <c:v>240354</c:v>
                </c:pt>
                <c:pt idx="3">
                  <c:v>120821</c:v>
                </c:pt>
                <c:pt idx="4">
                  <c:v>118794</c:v>
                </c:pt>
                <c:pt idx="5">
                  <c:v>117874</c:v>
                </c:pt>
                <c:pt idx="6">
                  <c:v>116062</c:v>
                </c:pt>
                <c:pt idx="7">
                  <c:v>117323</c:v>
                </c:pt>
                <c:pt idx="8">
                  <c:v>118247</c:v>
                </c:pt>
                <c:pt idx="9">
                  <c:v>119969</c:v>
                </c:pt>
                <c:pt idx="10">
                  <c:v>120455</c:v>
                </c:pt>
                <c:pt idx="11">
                  <c:v>121935</c:v>
                </c:pt>
                <c:pt idx="12">
                  <c:v>121473</c:v>
                </c:pt>
                <c:pt idx="13">
                  <c:v>119890</c:v>
                </c:pt>
                <c:pt idx="14">
                  <c:v>119117</c:v>
                </c:pt>
                <c:pt idx="15">
                  <c:v>117892</c:v>
                </c:pt>
                <c:pt idx="16">
                  <c:v>117834</c:v>
                </c:pt>
                <c:pt idx="17">
                  <c:v>117827</c:v>
                </c:pt>
                <c:pt idx="18">
                  <c:v>119154</c:v>
                </c:pt>
                <c:pt idx="19">
                  <c:v>119149</c:v>
                </c:pt>
                <c:pt idx="20">
                  <c:v>119255</c:v>
                </c:pt>
                <c:pt idx="21">
                  <c:v>119490</c:v>
                </c:pt>
                <c:pt idx="22">
                  <c:v>120419</c:v>
                </c:pt>
                <c:pt idx="23">
                  <c:v>120720</c:v>
                </c:pt>
                <c:pt idx="24">
                  <c:v>120157</c:v>
                </c:pt>
                <c:pt idx="25">
                  <c:v>117545</c:v>
                </c:pt>
                <c:pt idx="26">
                  <c:v>118127</c:v>
                </c:pt>
                <c:pt idx="27">
                  <c:v>117920</c:v>
                </c:pt>
                <c:pt idx="28">
                  <c:v>118955</c:v>
                </c:pt>
                <c:pt idx="29">
                  <c:v>119437</c:v>
                </c:pt>
                <c:pt idx="30">
                  <c:v>118831</c:v>
                </c:pt>
                <c:pt idx="31">
                  <c:v>119011</c:v>
                </c:pt>
                <c:pt idx="32">
                  <c:v>119537</c:v>
                </c:pt>
                <c:pt idx="33">
                  <c:v>120113</c:v>
                </c:pt>
                <c:pt idx="34">
                  <c:v>121693</c:v>
                </c:pt>
                <c:pt idx="35">
                  <c:v>121876</c:v>
                </c:pt>
                <c:pt idx="36">
                  <c:v>122215</c:v>
                </c:pt>
                <c:pt idx="37">
                  <c:v>121337</c:v>
                </c:pt>
                <c:pt idx="38">
                  <c:v>121863</c:v>
                </c:pt>
                <c:pt idx="39">
                  <c:v>120831</c:v>
                </c:pt>
                <c:pt idx="40">
                  <c:v>118140</c:v>
                </c:pt>
                <c:pt idx="41">
                  <c:v>116184</c:v>
                </c:pt>
                <c:pt idx="42">
                  <c:v>231340</c:v>
                </c:pt>
                <c:pt idx="43">
                  <c:v>115169</c:v>
                </c:pt>
                <c:pt idx="44">
                  <c:v>115155</c:v>
                </c:pt>
                <c:pt idx="45">
                  <c:v>113894</c:v>
                </c:pt>
                <c:pt idx="46">
                  <c:v>112767</c:v>
                </c:pt>
                <c:pt idx="47">
                  <c:v>108726</c:v>
                </c:pt>
                <c:pt idx="48">
                  <c:v>101695</c:v>
                </c:pt>
                <c:pt idx="49">
                  <c:v>100768</c:v>
                </c:pt>
              </c:numCache>
            </c:numRef>
          </c:val>
          <c:smooth val="0"/>
          <c:extLst>
            <c:ext xmlns:c16="http://schemas.microsoft.com/office/drawing/2014/chart" uri="{C3380CC4-5D6E-409C-BE32-E72D297353CC}">
              <c16:uniqueId val="{00000000-C59B-492A-B2C6-06CDC4C09F88}"/>
            </c:ext>
          </c:extLst>
        </c:ser>
        <c:ser>
          <c:idx val="1"/>
          <c:order val="1"/>
          <c:tx>
            <c:strRef>
              <c:f>PivotTable!$C$150</c:f>
              <c:strCache>
                <c:ptCount val="1"/>
                <c:pt idx="0">
                  <c:v>Sum of CE_COI</c:v>
                </c:pt>
              </c:strCache>
            </c:strRef>
          </c:tx>
          <c:spPr>
            <a:ln w="28575" cap="rnd">
              <a:solidFill>
                <a:schemeClr val="accent2"/>
              </a:solidFill>
              <a:round/>
            </a:ln>
            <a:effectLst/>
          </c:spPr>
          <c:marker>
            <c:symbol val="none"/>
          </c:marker>
          <c:cat>
            <c:multiLvlStrRef>
              <c:f>PivotTable!$A$151:$A$205</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PivotTable!$C$151:$C$205</c:f>
              <c:numCache>
                <c:formatCode>General</c:formatCode>
                <c:ptCount val="50"/>
                <c:pt idx="0">
                  <c:v>0</c:v>
                </c:pt>
                <c:pt idx="1">
                  <c:v>49743</c:v>
                </c:pt>
                <c:pt idx="2">
                  <c:v>100380</c:v>
                </c:pt>
                <c:pt idx="3">
                  <c:v>50235</c:v>
                </c:pt>
                <c:pt idx="4">
                  <c:v>49938</c:v>
                </c:pt>
                <c:pt idx="5">
                  <c:v>49283</c:v>
                </c:pt>
                <c:pt idx="6">
                  <c:v>45538</c:v>
                </c:pt>
                <c:pt idx="7">
                  <c:v>44063</c:v>
                </c:pt>
                <c:pt idx="8">
                  <c:v>41617</c:v>
                </c:pt>
                <c:pt idx="9">
                  <c:v>40548</c:v>
                </c:pt>
                <c:pt idx="10">
                  <c:v>39641</c:v>
                </c:pt>
                <c:pt idx="11">
                  <c:v>39165</c:v>
                </c:pt>
                <c:pt idx="12">
                  <c:v>39075</c:v>
                </c:pt>
                <c:pt idx="13">
                  <c:v>40885</c:v>
                </c:pt>
                <c:pt idx="14">
                  <c:v>41136</c:v>
                </c:pt>
                <c:pt idx="15">
                  <c:v>41557</c:v>
                </c:pt>
                <c:pt idx="16">
                  <c:v>41801</c:v>
                </c:pt>
                <c:pt idx="17">
                  <c:v>42667</c:v>
                </c:pt>
                <c:pt idx="18">
                  <c:v>42271</c:v>
                </c:pt>
                <c:pt idx="19">
                  <c:v>41945</c:v>
                </c:pt>
                <c:pt idx="20">
                  <c:v>42196</c:v>
                </c:pt>
                <c:pt idx="21">
                  <c:v>41984</c:v>
                </c:pt>
                <c:pt idx="22">
                  <c:v>41950</c:v>
                </c:pt>
                <c:pt idx="23">
                  <c:v>42036</c:v>
                </c:pt>
                <c:pt idx="24">
                  <c:v>42412</c:v>
                </c:pt>
                <c:pt idx="25">
                  <c:v>43743</c:v>
                </c:pt>
                <c:pt idx="26">
                  <c:v>43842</c:v>
                </c:pt>
                <c:pt idx="27">
                  <c:v>44681</c:v>
                </c:pt>
                <c:pt idx="28">
                  <c:v>44040</c:v>
                </c:pt>
                <c:pt idx="29">
                  <c:v>44316</c:v>
                </c:pt>
                <c:pt idx="30">
                  <c:v>44438</c:v>
                </c:pt>
                <c:pt idx="31">
                  <c:v>44110</c:v>
                </c:pt>
                <c:pt idx="32">
                  <c:v>43446</c:v>
                </c:pt>
                <c:pt idx="33">
                  <c:v>42968</c:v>
                </c:pt>
                <c:pt idx="34">
                  <c:v>42219</c:v>
                </c:pt>
                <c:pt idx="35">
                  <c:v>42302</c:v>
                </c:pt>
                <c:pt idx="36">
                  <c:v>42094</c:v>
                </c:pt>
                <c:pt idx="37">
                  <c:v>41069</c:v>
                </c:pt>
                <c:pt idx="38">
                  <c:v>40851</c:v>
                </c:pt>
                <c:pt idx="39">
                  <c:v>41216</c:v>
                </c:pt>
                <c:pt idx="40">
                  <c:v>40987</c:v>
                </c:pt>
                <c:pt idx="41">
                  <c:v>41102</c:v>
                </c:pt>
                <c:pt idx="42">
                  <c:v>84406</c:v>
                </c:pt>
                <c:pt idx="43">
                  <c:v>42387</c:v>
                </c:pt>
                <c:pt idx="44">
                  <c:v>42500</c:v>
                </c:pt>
                <c:pt idx="45">
                  <c:v>42569</c:v>
                </c:pt>
                <c:pt idx="46">
                  <c:v>43582</c:v>
                </c:pt>
                <c:pt idx="47">
                  <c:v>44710</c:v>
                </c:pt>
                <c:pt idx="48">
                  <c:v>47752</c:v>
                </c:pt>
                <c:pt idx="49">
                  <c:v>50153</c:v>
                </c:pt>
              </c:numCache>
            </c:numRef>
          </c:val>
          <c:smooth val="0"/>
          <c:extLst>
            <c:ext xmlns:c16="http://schemas.microsoft.com/office/drawing/2014/chart" uri="{C3380CC4-5D6E-409C-BE32-E72D297353CC}">
              <c16:uniqueId val="{00000001-C59B-492A-B2C6-06CDC4C09F88}"/>
            </c:ext>
          </c:extLst>
        </c:ser>
        <c:dLbls>
          <c:showLegendKey val="0"/>
          <c:showVal val="0"/>
          <c:showCatName val="0"/>
          <c:showSerName val="0"/>
          <c:showPercent val="0"/>
          <c:showBubbleSize val="0"/>
        </c:dLbls>
        <c:smooth val="0"/>
        <c:axId val="316881647"/>
        <c:axId val="316888847"/>
      </c:lineChart>
      <c:catAx>
        <c:axId val="316881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6888847"/>
        <c:crosses val="autoZero"/>
        <c:auto val="1"/>
        <c:lblAlgn val="ctr"/>
        <c:lblOffset val="100"/>
        <c:noMultiLvlLbl val="0"/>
      </c:catAx>
      <c:valAx>
        <c:axId val="316888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6881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[Optionchain.xlsm]PivotTable!PivotTable9</c:name>
    <c:fmtId val="17"/>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PivotTable!$B$150</c:f>
              <c:strCache>
                <c:ptCount val="1"/>
                <c:pt idx="0">
                  <c:v>Sum of PE_COI</c:v>
                </c:pt>
              </c:strCache>
            </c:strRef>
          </c:tx>
          <c:spPr>
            <a:ln w="28575" cap="rnd">
              <a:solidFill>
                <a:schemeClr val="accent1"/>
              </a:solidFill>
              <a:round/>
            </a:ln>
            <a:effectLst/>
          </c:spPr>
          <c:marker>
            <c:symbol val="none"/>
          </c:marker>
          <c:cat>
            <c:multiLvlStrRef>
              <c:f>PivotTable!$A$151:$A$205</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PivotTable!$B$151:$B$205</c:f>
              <c:numCache>
                <c:formatCode>General</c:formatCode>
                <c:ptCount val="50"/>
                <c:pt idx="0">
                  <c:v>0</c:v>
                </c:pt>
                <c:pt idx="1">
                  <c:v>120215</c:v>
                </c:pt>
                <c:pt idx="2">
                  <c:v>240354</c:v>
                </c:pt>
                <c:pt idx="3">
                  <c:v>120821</c:v>
                </c:pt>
                <c:pt idx="4">
                  <c:v>118794</c:v>
                </c:pt>
                <c:pt idx="5">
                  <c:v>117874</c:v>
                </c:pt>
                <c:pt idx="6">
                  <c:v>116062</c:v>
                </c:pt>
                <c:pt idx="7">
                  <c:v>117323</c:v>
                </c:pt>
                <c:pt idx="8">
                  <c:v>118247</c:v>
                </c:pt>
                <c:pt idx="9">
                  <c:v>119969</c:v>
                </c:pt>
                <c:pt idx="10">
                  <c:v>120455</c:v>
                </c:pt>
                <c:pt idx="11">
                  <c:v>121935</c:v>
                </c:pt>
                <c:pt idx="12">
                  <c:v>121473</c:v>
                </c:pt>
                <c:pt idx="13">
                  <c:v>119890</c:v>
                </c:pt>
                <c:pt idx="14">
                  <c:v>119117</c:v>
                </c:pt>
                <c:pt idx="15">
                  <c:v>117892</c:v>
                </c:pt>
                <c:pt idx="16">
                  <c:v>117834</c:v>
                </c:pt>
                <c:pt idx="17">
                  <c:v>117827</c:v>
                </c:pt>
                <c:pt idx="18">
                  <c:v>119154</c:v>
                </c:pt>
                <c:pt idx="19">
                  <c:v>119149</c:v>
                </c:pt>
                <c:pt idx="20">
                  <c:v>119255</c:v>
                </c:pt>
                <c:pt idx="21">
                  <c:v>119490</c:v>
                </c:pt>
                <c:pt idx="22">
                  <c:v>120419</c:v>
                </c:pt>
                <c:pt idx="23">
                  <c:v>120720</c:v>
                </c:pt>
                <c:pt idx="24">
                  <c:v>120157</c:v>
                </c:pt>
                <c:pt idx="25">
                  <c:v>117545</c:v>
                </c:pt>
                <c:pt idx="26">
                  <c:v>118127</c:v>
                </c:pt>
                <c:pt idx="27">
                  <c:v>117920</c:v>
                </c:pt>
                <c:pt idx="28">
                  <c:v>118955</c:v>
                </c:pt>
                <c:pt idx="29">
                  <c:v>119437</c:v>
                </c:pt>
                <c:pt idx="30">
                  <c:v>118831</c:v>
                </c:pt>
                <c:pt idx="31">
                  <c:v>119011</c:v>
                </c:pt>
                <c:pt idx="32">
                  <c:v>119537</c:v>
                </c:pt>
                <c:pt idx="33">
                  <c:v>120113</c:v>
                </c:pt>
                <c:pt idx="34">
                  <c:v>121693</c:v>
                </c:pt>
                <c:pt idx="35">
                  <c:v>121876</c:v>
                </c:pt>
                <c:pt idx="36">
                  <c:v>122215</c:v>
                </c:pt>
                <c:pt idx="37">
                  <c:v>121337</c:v>
                </c:pt>
                <c:pt idx="38">
                  <c:v>121863</c:v>
                </c:pt>
                <c:pt idx="39">
                  <c:v>120831</c:v>
                </c:pt>
                <c:pt idx="40">
                  <c:v>118140</c:v>
                </c:pt>
                <c:pt idx="41">
                  <c:v>116184</c:v>
                </c:pt>
                <c:pt idx="42">
                  <c:v>231340</c:v>
                </c:pt>
                <c:pt idx="43">
                  <c:v>115169</c:v>
                </c:pt>
                <c:pt idx="44">
                  <c:v>115155</c:v>
                </c:pt>
                <c:pt idx="45">
                  <c:v>113894</c:v>
                </c:pt>
                <c:pt idx="46">
                  <c:v>112767</c:v>
                </c:pt>
                <c:pt idx="47">
                  <c:v>108726</c:v>
                </c:pt>
                <c:pt idx="48">
                  <c:v>101695</c:v>
                </c:pt>
                <c:pt idx="49">
                  <c:v>100768</c:v>
                </c:pt>
              </c:numCache>
            </c:numRef>
          </c:val>
          <c:smooth val="0"/>
          <c:extLst>
            <c:ext xmlns:c16="http://schemas.microsoft.com/office/drawing/2014/chart" uri="{C3380CC4-5D6E-409C-BE32-E72D297353CC}">
              <c16:uniqueId val="{00000000-3519-49CC-A923-07A284ED09DB}"/>
            </c:ext>
          </c:extLst>
        </c:ser>
        <c:ser>
          <c:idx val="1"/>
          <c:order val="1"/>
          <c:tx>
            <c:strRef>
              <c:f>PivotTable!$C$150</c:f>
              <c:strCache>
                <c:ptCount val="1"/>
                <c:pt idx="0">
                  <c:v>Sum of CE_COI</c:v>
                </c:pt>
              </c:strCache>
            </c:strRef>
          </c:tx>
          <c:spPr>
            <a:ln w="28575" cap="rnd">
              <a:solidFill>
                <a:schemeClr val="accent2"/>
              </a:solidFill>
              <a:round/>
            </a:ln>
            <a:effectLst/>
          </c:spPr>
          <c:marker>
            <c:symbol val="none"/>
          </c:marker>
          <c:cat>
            <c:multiLvlStrRef>
              <c:f>PivotTable!$A$151:$A$205</c:f>
              <c:multiLvlStrCache>
                <c:ptCount val="50"/>
                <c:lvl>
                  <c:pt idx="0">
                    <c:v>:37</c:v>
                  </c:pt>
                  <c:pt idx="1">
                    <c:v>:40</c:v>
                  </c:pt>
                  <c:pt idx="2">
                    <c:v>:43</c:v>
                  </c:pt>
                  <c:pt idx="3">
                    <c:v>:47</c:v>
                  </c:pt>
                  <c:pt idx="4">
                    <c:v>:50</c:v>
                  </c:pt>
                  <c:pt idx="5">
                    <c:v>:53</c:v>
                  </c:pt>
                  <c:pt idx="6">
                    <c:v>:56</c:v>
                  </c:pt>
                  <c:pt idx="7">
                    <c:v>:59</c:v>
                  </c:pt>
                  <c:pt idx="8">
                    <c:v>:02</c:v>
                  </c:pt>
                  <c:pt idx="9">
                    <c:v>:05</c:v>
                  </c:pt>
                  <c:pt idx="10">
                    <c:v>:08</c:v>
                  </c:pt>
                  <c:pt idx="11">
                    <c:v>:11</c:v>
                  </c:pt>
                  <c:pt idx="12">
                    <c:v>:14</c:v>
                  </c:pt>
                  <c:pt idx="13">
                    <c:v>:17</c:v>
                  </c:pt>
                  <c:pt idx="14">
                    <c:v>:20</c:v>
                  </c:pt>
                  <c:pt idx="15">
                    <c:v>:23</c:v>
                  </c:pt>
                  <c:pt idx="16">
                    <c:v>:27</c:v>
                  </c:pt>
                  <c:pt idx="17">
                    <c:v>:30</c:v>
                  </c:pt>
                  <c:pt idx="18">
                    <c:v>:33</c:v>
                  </c:pt>
                  <c:pt idx="19">
                    <c:v>:36</c:v>
                  </c:pt>
                  <c:pt idx="20">
                    <c:v>:39</c:v>
                  </c:pt>
                  <c:pt idx="21">
                    <c:v>:42</c:v>
                  </c:pt>
                  <c:pt idx="22">
                    <c:v>:45</c:v>
                  </c:pt>
                  <c:pt idx="23">
                    <c:v>:48</c:v>
                  </c:pt>
                  <c:pt idx="24">
                    <c:v>:51</c:v>
                  </c:pt>
                  <c:pt idx="25">
                    <c:v>:54</c:v>
                  </c:pt>
                  <c:pt idx="26">
                    <c:v>:57</c:v>
                  </c:pt>
                  <c:pt idx="27">
                    <c:v>:00</c:v>
                  </c:pt>
                  <c:pt idx="28">
                    <c:v>:03</c:v>
                  </c:pt>
                  <c:pt idx="29">
                    <c:v>:07</c:v>
                  </c:pt>
                  <c:pt idx="30">
                    <c:v>:10</c:v>
                  </c:pt>
                  <c:pt idx="31">
                    <c:v>:13</c:v>
                  </c:pt>
                  <c:pt idx="32">
                    <c:v>:16</c:v>
                  </c:pt>
                  <c:pt idx="33">
                    <c:v>:19</c:v>
                  </c:pt>
                  <c:pt idx="34">
                    <c:v>:22</c:v>
                  </c:pt>
                  <c:pt idx="35">
                    <c:v>:25</c:v>
                  </c:pt>
                  <c:pt idx="36">
                    <c:v>:28</c:v>
                  </c:pt>
                  <c:pt idx="37">
                    <c:v>:31</c:v>
                  </c:pt>
                  <c:pt idx="38">
                    <c:v>:34</c:v>
                  </c:pt>
                  <c:pt idx="39">
                    <c:v>:37</c:v>
                  </c:pt>
                  <c:pt idx="40">
                    <c:v>:40</c:v>
                  </c:pt>
                  <c:pt idx="41">
                    <c:v>:44</c:v>
                  </c:pt>
                  <c:pt idx="42">
                    <c:v>:47</c:v>
                  </c:pt>
                  <c:pt idx="43">
                    <c:v>:50</c:v>
                  </c:pt>
                  <c:pt idx="44">
                    <c:v>:55</c:v>
                  </c:pt>
                  <c:pt idx="45">
                    <c:v>:59</c:v>
                  </c:pt>
                  <c:pt idx="46">
                    <c:v>:02</c:v>
                  </c:pt>
                  <c:pt idx="47">
                    <c:v>:04</c:v>
                  </c:pt>
                  <c:pt idx="48">
                    <c:v>:07</c:v>
                  </c:pt>
                  <c:pt idx="49">
                    <c:v>:11</c:v>
                  </c:pt>
                </c:lvl>
                <c:lvl>
                  <c:pt idx="0">
                    <c:v>10 AM</c:v>
                  </c:pt>
                  <c:pt idx="8">
                    <c:v>11 AM</c:v>
                  </c:pt>
                  <c:pt idx="27">
                    <c:v>12 PM</c:v>
                  </c:pt>
                  <c:pt idx="46">
                    <c:v>01 PM</c:v>
                  </c:pt>
                </c:lvl>
              </c:multiLvlStrCache>
            </c:multiLvlStrRef>
          </c:cat>
          <c:val>
            <c:numRef>
              <c:f>PivotTable!$C$151:$C$205</c:f>
              <c:numCache>
                <c:formatCode>General</c:formatCode>
                <c:ptCount val="50"/>
                <c:pt idx="0">
                  <c:v>0</c:v>
                </c:pt>
                <c:pt idx="1">
                  <c:v>49743</c:v>
                </c:pt>
                <c:pt idx="2">
                  <c:v>100380</c:v>
                </c:pt>
                <c:pt idx="3">
                  <c:v>50235</c:v>
                </c:pt>
                <c:pt idx="4">
                  <c:v>49938</c:v>
                </c:pt>
                <c:pt idx="5">
                  <c:v>49283</c:v>
                </c:pt>
                <c:pt idx="6">
                  <c:v>45538</c:v>
                </c:pt>
                <c:pt idx="7">
                  <c:v>44063</c:v>
                </c:pt>
                <c:pt idx="8">
                  <c:v>41617</c:v>
                </c:pt>
                <c:pt idx="9">
                  <c:v>40548</c:v>
                </c:pt>
                <c:pt idx="10">
                  <c:v>39641</c:v>
                </c:pt>
                <c:pt idx="11">
                  <c:v>39165</c:v>
                </c:pt>
                <c:pt idx="12">
                  <c:v>39075</c:v>
                </c:pt>
                <c:pt idx="13">
                  <c:v>40885</c:v>
                </c:pt>
                <c:pt idx="14">
                  <c:v>41136</c:v>
                </c:pt>
                <c:pt idx="15">
                  <c:v>41557</c:v>
                </c:pt>
                <c:pt idx="16">
                  <c:v>41801</c:v>
                </c:pt>
                <c:pt idx="17">
                  <c:v>42667</c:v>
                </c:pt>
                <c:pt idx="18">
                  <c:v>42271</c:v>
                </c:pt>
                <c:pt idx="19">
                  <c:v>41945</c:v>
                </c:pt>
                <c:pt idx="20">
                  <c:v>42196</c:v>
                </c:pt>
                <c:pt idx="21">
                  <c:v>41984</c:v>
                </c:pt>
                <c:pt idx="22">
                  <c:v>41950</c:v>
                </c:pt>
                <c:pt idx="23">
                  <c:v>42036</c:v>
                </c:pt>
                <c:pt idx="24">
                  <c:v>42412</c:v>
                </c:pt>
                <c:pt idx="25">
                  <c:v>43743</c:v>
                </c:pt>
                <c:pt idx="26">
                  <c:v>43842</c:v>
                </c:pt>
                <c:pt idx="27">
                  <c:v>44681</c:v>
                </c:pt>
                <c:pt idx="28">
                  <c:v>44040</c:v>
                </c:pt>
                <c:pt idx="29">
                  <c:v>44316</c:v>
                </c:pt>
                <c:pt idx="30">
                  <c:v>44438</c:v>
                </c:pt>
                <c:pt idx="31">
                  <c:v>44110</c:v>
                </c:pt>
                <c:pt idx="32">
                  <c:v>43446</c:v>
                </c:pt>
                <c:pt idx="33">
                  <c:v>42968</c:v>
                </c:pt>
                <c:pt idx="34">
                  <c:v>42219</c:v>
                </c:pt>
                <c:pt idx="35">
                  <c:v>42302</c:v>
                </c:pt>
                <c:pt idx="36">
                  <c:v>42094</c:v>
                </c:pt>
                <c:pt idx="37">
                  <c:v>41069</c:v>
                </c:pt>
                <c:pt idx="38">
                  <c:v>40851</c:v>
                </c:pt>
                <c:pt idx="39">
                  <c:v>41216</c:v>
                </c:pt>
                <c:pt idx="40">
                  <c:v>40987</c:v>
                </c:pt>
                <c:pt idx="41">
                  <c:v>41102</c:v>
                </c:pt>
                <c:pt idx="42">
                  <c:v>84406</c:v>
                </c:pt>
                <c:pt idx="43">
                  <c:v>42387</c:v>
                </c:pt>
                <c:pt idx="44">
                  <c:v>42500</c:v>
                </c:pt>
                <c:pt idx="45">
                  <c:v>42569</c:v>
                </c:pt>
                <c:pt idx="46">
                  <c:v>43582</c:v>
                </c:pt>
                <c:pt idx="47">
                  <c:v>44710</c:v>
                </c:pt>
                <c:pt idx="48">
                  <c:v>47752</c:v>
                </c:pt>
                <c:pt idx="49">
                  <c:v>50153</c:v>
                </c:pt>
              </c:numCache>
            </c:numRef>
          </c:val>
          <c:smooth val="0"/>
          <c:extLst>
            <c:ext xmlns:c16="http://schemas.microsoft.com/office/drawing/2014/chart" uri="{C3380CC4-5D6E-409C-BE32-E72D297353CC}">
              <c16:uniqueId val="{00000001-3519-49CC-A923-07A284ED09DB}"/>
            </c:ext>
          </c:extLst>
        </c:ser>
        <c:dLbls>
          <c:showLegendKey val="0"/>
          <c:showVal val="0"/>
          <c:showCatName val="0"/>
          <c:showSerName val="0"/>
          <c:showPercent val="0"/>
          <c:showBubbleSize val="0"/>
        </c:dLbls>
        <c:smooth val="0"/>
        <c:axId val="993931568"/>
        <c:axId val="993923888"/>
      </c:lineChart>
      <c:catAx>
        <c:axId val="99393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923888"/>
        <c:crosses val="autoZero"/>
        <c:auto val="1"/>
        <c:lblAlgn val="ctr"/>
        <c:lblOffset val="100"/>
        <c:noMultiLvlLbl val="0"/>
      </c:catAx>
      <c:valAx>
        <c:axId val="99392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9315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strRef>
              <c:f>NData!$K$1</c:f>
              <c:strCache>
                <c:ptCount val="1"/>
                <c:pt idx="0">
                  <c:v>OI PCR</c:v>
                </c:pt>
              </c:strCache>
            </c:strRef>
          </c:tx>
          <c:spPr>
            <a:ln w="28575" cap="rnd">
              <a:solidFill>
                <a:schemeClr val="accent2"/>
              </a:solidFill>
              <a:round/>
            </a:ln>
            <a:effectLst/>
          </c:spPr>
          <c:marker>
            <c:symbol val="none"/>
          </c:marker>
          <c:cat>
            <c:strRef>
              <c:f>NData!$J:$J</c:f>
              <c:strCache>
                <c:ptCount val="1"/>
                <c:pt idx="0">
                  <c:v>TIME</c:v>
                </c:pt>
              </c:strCache>
            </c:strRef>
          </c:cat>
          <c:val>
            <c:numRef>
              <c:f>NData!$K$2:$K$87</c:f>
              <c:numCache>
                <c:formatCode>General</c:formatCode>
                <c:ptCount val="86"/>
              </c:numCache>
            </c:numRef>
          </c:val>
          <c:smooth val="0"/>
          <c:extLst>
            <c:ext xmlns:c16="http://schemas.microsoft.com/office/drawing/2014/chart" uri="{C3380CC4-5D6E-409C-BE32-E72D297353CC}">
              <c16:uniqueId val="{00000001-2D6A-4EB3-94BD-1366A071F128}"/>
            </c:ext>
          </c:extLst>
        </c:ser>
        <c:ser>
          <c:idx val="2"/>
          <c:order val="2"/>
          <c:tx>
            <c:strRef>
              <c:f>NData!$L$1</c:f>
              <c:strCache>
                <c:ptCount val="1"/>
                <c:pt idx="0">
                  <c:v>VOL PCR</c:v>
                </c:pt>
              </c:strCache>
            </c:strRef>
          </c:tx>
          <c:spPr>
            <a:ln w="28575" cap="rnd">
              <a:solidFill>
                <a:schemeClr val="accent3"/>
              </a:solidFill>
              <a:round/>
            </a:ln>
            <a:effectLst/>
          </c:spPr>
          <c:marker>
            <c:symbol val="none"/>
          </c:marker>
          <c:cat>
            <c:strRef>
              <c:f>NData!$J:$J</c:f>
              <c:strCache>
                <c:ptCount val="1"/>
                <c:pt idx="0">
                  <c:v>TIME</c:v>
                </c:pt>
              </c:strCache>
            </c:strRef>
          </c:cat>
          <c:val>
            <c:numRef>
              <c:f>NData!$L$2:$L$87</c:f>
              <c:numCache>
                <c:formatCode>General</c:formatCode>
                <c:ptCount val="86"/>
              </c:numCache>
            </c:numRef>
          </c:val>
          <c:smooth val="0"/>
          <c:extLst>
            <c:ext xmlns:c16="http://schemas.microsoft.com/office/drawing/2014/chart" uri="{C3380CC4-5D6E-409C-BE32-E72D297353CC}">
              <c16:uniqueId val="{00000002-2D6A-4EB3-94BD-1366A071F128}"/>
            </c:ext>
          </c:extLst>
        </c:ser>
        <c:dLbls>
          <c:showLegendKey val="0"/>
          <c:showVal val="0"/>
          <c:showCatName val="0"/>
          <c:showSerName val="0"/>
          <c:showPercent val="0"/>
          <c:showBubbleSize val="0"/>
        </c:dLbls>
        <c:smooth val="0"/>
        <c:axId val="1456441824"/>
        <c:axId val="1456440384"/>
        <c:extLst>
          <c:ext xmlns:c15="http://schemas.microsoft.com/office/drawing/2012/chart" uri="{02D57815-91ED-43cb-92C2-25804820EDAC}">
            <c15:filteredLineSeries>
              <c15:ser>
                <c:idx val="0"/>
                <c:order val="0"/>
                <c:tx>
                  <c:strRef>
                    <c:extLst>
                      <c:ext uri="{02D57815-91ED-43cb-92C2-25804820EDAC}">
                        <c15:formulaRef>
                          <c15:sqref>NData!$J$1</c15:sqref>
                        </c15:formulaRef>
                      </c:ext>
                    </c:extLst>
                    <c:strCache>
                      <c:ptCount val="1"/>
                      <c:pt idx="0">
                        <c:v>TIME</c:v>
                      </c:pt>
                    </c:strCache>
                  </c:strRef>
                </c:tx>
                <c:spPr>
                  <a:ln w="28575" cap="rnd">
                    <a:solidFill>
                      <a:schemeClr val="accent1"/>
                    </a:solidFill>
                    <a:round/>
                  </a:ln>
                  <a:effectLst/>
                </c:spPr>
                <c:marker>
                  <c:symbol val="none"/>
                </c:marker>
                <c:cat>
                  <c:strRef>
                    <c:extLst>
                      <c:ext uri="{02D57815-91ED-43cb-92C2-25804820EDAC}">
                        <c15:formulaRef>
                          <c15:sqref>NData!$J:$J</c15:sqref>
                        </c15:formulaRef>
                      </c:ext>
                    </c:extLst>
                    <c:strCache>
                      <c:ptCount val="1"/>
                      <c:pt idx="0">
                        <c:v>TIME</c:v>
                      </c:pt>
                    </c:strCache>
                  </c:strRef>
                </c:cat>
                <c:val>
                  <c:numRef>
                    <c:extLst>
                      <c:ext uri="{02D57815-91ED-43cb-92C2-25804820EDAC}">
                        <c15:formulaRef>
                          <c15:sqref>NData!$J$2:$J$87</c15:sqref>
                        </c15:formulaRef>
                      </c:ext>
                    </c:extLst>
                    <c:numCache>
                      <c:formatCode>[$-14009]hh:mm;@</c:formatCode>
                      <c:ptCount val="86"/>
                    </c:numCache>
                  </c:numRef>
                </c:val>
                <c:smooth val="0"/>
                <c:extLst>
                  <c:ext xmlns:c16="http://schemas.microsoft.com/office/drawing/2014/chart" uri="{C3380CC4-5D6E-409C-BE32-E72D297353CC}">
                    <c16:uniqueId val="{00000000-2D6A-4EB3-94BD-1366A071F128}"/>
                  </c:ext>
                </c:extLst>
              </c15:ser>
            </c15:filteredLineSeries>
          </c:ext>
        </c:extLst>
      </c:lineChart>
      <c:catAx>
        <c:axId val="145644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6440384"/>
        <c:crosses val="autoZero"/>
        <c:auto val="1"/>
        <c:lblAlgn val="ctr"/>
        <c:lblOffset val="100"/>
        <c:noMultiLvlLbl val="0"/>
      </c:catAx>
      <c:valAx>
        <c:axId val="1456440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64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4762</xdr:rowOff>
    </xdr:from>
    <xdr:to>
      <xdr:col>7</xdr:col>
      <xdr:colOff>752475</xdr:colOff>
      <xdr:row>27</xdr:row>
      <xdr:rowOff>80962</xdr:rowOff>
    </xdr:to>
    <xdr:graphicFrame macro="">
      <xdr:nvGraphicFramePr>
        <xdr:cNvPr id="2" name="Chart 1">
          <a:extLst>
            <a:ext uri="{FF2B5EF4-FFF2-40B4-BE49-F238E27FC236}">
              <a16:creationId xmlns:a16="http://schemas.microsoft.com/office/drawing/2014/main" id="{9B37D07C-534D-961E-F4A2-18EB4EA27E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27</xdr:row>
      <xdr:rowOff>100012</xdr:rowOff>
    </xdr:from>
    <xdr:to>
      <xdr:col>7</xdr:col>
      <xdr:colOff>752475</xdr:colOff>
      <xdr:row>41</xdr:row>
      <xdr:rowOff>176212</xdr:rowOff>
    </xdr:to>
    <xdr:graphicFrame macro="">
      <xdr:nvGraphicFramePr>
        <xdr:cNvPr id="3" name="Chart 2">
          <a:extLst>
            <a:ext uri="{FF2B5EF4-FFF2-40B4-BE49-F238E27FC236}">
              <a16:creationId xmlns:a16="http://schemas.microsoft.com/office/drawing/2014/main" id="{B76B71F1-1D2F-B095-52C3-465EE94629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590550</xdr:colOff>
      <xdr:row>13</xdr:row>
      <xdr:rowOff>0</xdr:rowOff>
    </xdr:from>
    <xdr:to>
      <xdr:col>29</xdr:col>
      <xdr:colOff>285750</xdr:colOff>
      <xdr:row>27</xdr:row>
      <xdr:rowOff>76200</xdr:rowOff>
    </xdr:to>
    <xdr:graphicFrame macro="">
      <xdr:nvGraphicFramePr>
        <xdr:cNvPr id="4" name="Chart 3">
          <a:extLst>
            <a:ext uri="{FF2B5EF4-FFF2-40B4-BE49-F238E27FC236}">
              <a16:creationId xmlns:a16="http://schemas.microsoft.com/office/drawing/2014/main" id="{2601710E-7C2F-8FC3-7997-B514BABD49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0</xdr:colOff>
      <xdr:row>27</xdr:row>
      <xdr:rowOff>133350</xdr:rowOff>
    </xdr:from>
    <xdr:to>
      <xdr:col>29</xdr:col>
      <xdr:colOff>304800</xdr:colOff>
      <xdr:row>42</xdr:row>
      <xdr:rowOff>19050</xdr:rowOff>
    </xdr:to>
    <xdr:graphicFrame macro="">
      <xdr:nvGraphicFramePr>
        <xdr:cNvPr id="5" name="Chart 4">
          <a:extLst>
            <a:ext uri="{FF2B5EF4-FFF2-40B4-BE49-F238E27FC236}">
              <a16:creationId xmlns:a16="http://schemas.microsoft.com/office/drawing/2014/main" id="{A9DE3CB4-87B5-40C5-B7EA-891A091E6E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0</xdr:colOff>
      <xdr:row>13</xdr:row>
      <xdr:rowOff>0</xdr:rowOff>
    </xdr:from>
    <xdr:to>
      <xdr:col>19</xdr:col>
      <xdr:colOff>0</xdr:colOff>
      <xdr:row>27</xdr:row>
      <xdr:rowOff>76200</xdr:rowOff>
    </xdr:to>
    <xdr:graphicFrame macro="">
      <xdr:nvGraphicFramePr>
        <xdr:cNvPr id="6" name="Chart 5">
          <a:extLst>
            <a:ext uri="{FF2B5EF4-FFF2-40B4-BE49-F238E27FC236}">
              <a16:creationId xmlns:a16="http://schemas.microsoft.com/office/drawing/2014/main" id="{CE56D885-B6DE-41F8-BBAD-E64D1C855E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28</xdr:row>
      <xdr:rowOff>0</xdr:rowOff>
    </xdr:from>
    <xdr:to>
      <xdr:col>19</xdr:col>
      <xdr:colOff>0</xdr:colOff>
      <xdr:row>42</xdr:row>
      <xdr:rowOff>76200</xdr:rowOff>
    </xdr:to>
    <xdr:graphicFrame macro="">
      <xdr:nvGraphicFramePr>
        <xdr:cNvPr id="7" name="Chart 6">
          <a:extLst>
            <a:ext uri="{FF2B5EF4-FFF2-40B4-BE49-F238E27FC236}">
              <a16:creationId xmlns:a16="http://schemas.microsoft.com/office/drawing/2014/main" id="{9DE50CEB-CF37-4E8E-A46D-59813CCFA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590550</xdr:colOff>
      <xdr:row>13</xdr:row>
      <xdr:rowOff>0</xdr:rowOff>
    </xdr:from>
    <xdr:to>
      <xdr:col>40</xdr:col>
      <xdr:colOff>285750</xdr:colOff>
      <xdr:row>27</xdr:row>
      <xdr:rowOff>76200</xdr:rowOff>
    </xdr:to>
    <xdr:graphicFrame macro="">
      <xdr:nvGraphicFramePr>
        <xdr:cNvPr id="8" name="Chart 7">
          <a:extLst>
            <a:ext uri="{FF2B5EF4-FFF2-40B4-BE49-F238E27FC236}">
              <a16:creationId xmlns:a16="http://schemas.microsoft.com/office/drawing/2014/main" id="{93F8E3D5-3A65-4B3B-9D80-252D0B1303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33</xdr:col>
      <xdr:colOff>0</xdr:colOff>
      <xdr:row>30</xdr:row>
      <xdr:rowOff>0</xdr:rowOff>
    </xdr:from>
    <xdr:to>
      <xdr:col>40</xdr:col>
      <xdr:colOff>304800</xdr:colOff>
      <xdr:row>44</xdr:row>
      <xdr:rowOff>76200</xdr:rowOff>
    </xdr:to>
    <xdr:graphicFrame macro="">
      <xdr:nvGraphicFramePr>
        <xdr:cNvPr id="10" name="Chart 9">
          <a:extLst>
            <a:ext uri="{FF2B5EF4-FFF2-40B4-BE49-F238E27FC236}">
              <a16:creationId xmlns:a16="http://schemas.microsoft.com/office/drawing/2014/main" id="{796DA7EB-2750-4C69-8AFB-0399AC8FAF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0</xdr:colOff>
      <xdr:row>13</xdr:row>
      <xdr:rowOff>0</xdr:rowOff>
    </xdr:from>
    <xdr:to>
      <xdr:col>51</xdr:col>
      <xdr:colOff>304800</xdr:colOff>
      <xdr:row>27</xdr:row>
      <xdr:rowOff>76200</xdr:rowOff>
    </xdr:to>
    <xdr:graphicFrame macro="">
      <xdr:nvGraphicFramePr>
        <xdr:cNvPr id="11" name="Chart 10">
          <a:extLst>
            <a:ext uri="{FF2B5EF4-FFF2-40B4-BE49-F238E27FC236}">
              <a16:creationId xmlns:a16="http://schemas.microsoft.com/office/drawing/2014/main" id="{A0F91EE7-B72D-40E6-B902-095B032B03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0</xdr:colOff>
      <xdr:row>28</xdr:row>
      <xdr:rowOff>0</xdr:rowOff>
    </xdr:from>
    <xdr:to>
      <xdr:col>51</xdr:col>
      <xdr:colOff>304800</xdr:colOff>
      <xdr:row>42</xdr:row>
      <xdr:rowOff>76200</xdr:rowOff>
    </xdr:to>
    <xdr:graphicFrame macro="">
      <xdr:nvGraphicFramePr>
        <xdr:cNvPr id="12" name="Chart 11">
          <a:extLst>
            <a:ext uri="{FF2B5EF4-FFF2-40B4-BE49-F238E27FC236}">
              <a16:creationId xmlns:a16="http://schemas.microsoft.com/office/drawing/2014/main" id="{43B30795-3F4D-45FB-880F-0818DA5496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xdr:colOff>
      <xdr:row>0</xdr:row>
      <xdr:rowOff>76200</xdr:rowOff>
    </xdr:from>
    <xdr:to>
      <xdr:col>1</xdr:col>
      <xdr:colOff>561976</xdr:colOff>
      <xdr:row>2</xdr:row>
      <xdr:rowOff>0</xdr:rowOff>
    </xdr:to>
    <xdr:sp macro="[0]!startTimer" textlink="">
      <xdr:nvSpPr>
        <xdr:cNvPr id="2" name="Rectangle: Rounded Corners 1">
          <a:extLst>
            <a:ext uri="{FF2B5EF4-FFF2-40B4-BE49-F238E27FC236}">
              <a16:creationId xmlns:a16="http://schemas.microsoft.com/office/drawing/2014/main" id="{95361C5A-CDBD-ECF7-D35D-E22A5F39417F}"/>
            </a:ext>
          </a:extLst>
        </xdr:cNvPr>
        <xdr:cNvSpPr/>
      </xdr:nvSpPr>
      <xdr:spPr>
        <a:xfrm>
          <a:off x="57150" y="76200"/>
          <a:ext cx="1114426" cy="304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Start Data Copy</a:t>
          </a:r>
        </a:p>
      </xdr:txBody>
    </xdr:sp>
    <xdr:clientData/>
  </xdr:twoCellAnchor>
  <xdr:twoCellAnchor>
    <xdr:from>
      <xdr:col>2</xdr:col>
      <xdr:colOff>38100</xdr:colOff>
      <xdr:row>0</xdr:row>
      <xdr:rowOff>76200</xdr:rowOff>
    </xdr:from>
    <xdr:to>
      <xdr:col>3</xdr:col>
      <xdr:colOff>561975</xdr:colOff>
      <xdr:row>1</xdr:row>
      <xdr:rowOff>180975</xdr:rowOff>
    </xdr:to>
    <xdr:sp macro="[0]!stopTimer" textlink="">
      <xdr:nvSpPr>
        <xdr:cNvPr id="4" name="Rectangle: Rounded Corners 3">
          <a:extLst>
            <a:ext uri="{FF2B5EF4-FFF2-40B4-BE49-F238E27FC236}">
              <a16:creationId xmlns:a16="http://schemas.microsoft.com/office/drawing/2014/main" id="{A320FAC6-01F2-259B-63CA-80888CF1D0BE}"/>
            </a:ext>
          </a:extLst>
        </xdr:cNvPr>
        <xdr:cNvSpPr/>
      </xdr:nvSpPr>
      <xdr:spPr>
        <a:xfrm>
          <a:off x="1257300" y="76200"/>
          <a:ext cx="1133475" cy="2952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Stop Data Copy</a:t>
          </a:r>
        </a:p>
      </xdr:txBody>
    </xdr:sp>
    <xdr:clientData/>
  </xdr:twoCellAnchor>
  <xdr:twoCellAnchor>
    <xdr:from>
      <xdr:col>4</xdr:col>
      <xdr:colOff>47625</xdr:colOff>
      <xdr:row>0</xdr:row>
      <xdr:rowOff>66675</xdr:rowOff>
    </xdr:from>
    <xdr:to>
      <xdr:col>5</xdr:col>
      <xdr:colOff>542925</xdr:colOff>
      <xdr:row>1</xdr:row>
      <xdr:rowOff>171450</xdr:rowOff>
    </xdr:to>
    <xdr:sp macro="[0]!cleatdata" textlink="">
      <xdr:nvSpPr>
        <xdr:cNvPr id="5" name="Rectangle: Rounded Corners 4">
          <a:extLst>
            <a:ext uri="{FF2B5EF4-FFF2-40B4-BE49-F238E27FC236}">
              <a16:creationId xmlns:a16="http://schemas.microsoft.com/office/drawing/2014/main" id="{10DD5829-B7DA-AA18-F1A8-5B899BD9AC82}"/>
            </a:ext>
          </a:extLst>
        </xdr:cNvPr>
        <xdr:cNvSpPr/>
      </xdr:nvSpPr>
      <xdr:spPr>
        <a:xfrm>
          <a:off x="2486025" y="66675"/>
          <a:ext cx="1104900" cy="2952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Clear Data</a:t>
          </a:r>
        </a:p>
      </xdr:txBody>
    </xdr:sp>
    <xdr:clientData/>
  </xdr:twoCellAnchor>
  <xdr:twoCellAnchor>
    <xdr:from>
      <xdr:col>3</xdr:col>
      <xdr:colOff>495300</xdr:colOff>
      <xdr:row>147</xdr:row>
      <xdr:rowOff>185737</xdr:rowOff>
    </xdr:from>
    <xdr:to>
      <xdr:col>11</xdr:col>
      <xdr:colOff>190500</xdr:colOff>
      <xdr:row>162</xdr:row>
      <xdr:rowOff>71437</xdr:rowOff>
    </xdr:to>
    <xdr:graphicFrame macro="">
      <xdr:nvGraphicFramePr>
        <xdr:cNvPr id="7" name="Chart 4">
          <a:extLst>
            <a:ext uri="{FF2B5EF4-FFF2-40B4-BE49-F238E27FC236}">
              <a16:creationId xmlns:a16="http://schemas.microsoft.com/office/drawing/2014/main" id="{F5D7578F-4709-9680-9A80-6D00DE7324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333375</xdr:colOff>
      <xdr:row>141</xdr:row>
      <xdr:rowOff>185737</xdr:rowOff>
    </xdr:from>
    <xdr:to>
      <xdr:col>14</xdr:col>
      <xdr:colOff>28575</xdr:colOff>
      <xdr:row>156</xdr:row>
      <xdr:rowOff>71437</xdr:rowOff>
    </xdr:to>
    <xdr:graphicFrame macro="">
      <xdr:nvGraphicFramePr>
        <xdr:cNvPr id="8" name="Chart 5">
          <a:extLst>
            <a:ext uri="{FF2B5EF4-FFF2-40B4-BE49-F238E27FC236}">
              <a16:creationId xmlns:a16="http://schemas.microsoft.com/office/drawing/2014/main" id="{F5F37754-F647-CA9C-C557-EB5C2434DB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xdr:row>
      <xdr:rowOff>90487</xdr:rowOff>
    </xdr:from>
    <xdr:to>
      <xdr:col>8</xdr:col>
      <xdr:colOff>476250</xdr:colOff>
      <xdr:row>17</xdr:row>
      <xdr:rowOff>9525</xdr:rowOff>
    </xdr:to>
    <xdr:graphicFrame macro="">
      <xdr:nvGraphicFramePr>
        <xdr:cNvPr id="9" name="Chart 3">
          <a:extLst>
            <a:ext uri="{FF2B5EF4-FFF2-40B4-BE49-F238E27FC236}">
              <a16:creationId xmlns:a16="http://schemas.microsoft.com/office/drawing/2014/main" id="{CA6F9425-BC02-F000-F468-92327F7B17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333375</xdr:colOff>
      <xdr:row>150</xdr:row>
      <xdr:rowOff>185737</xdr:rowOff>
    </xdr:from>
    <xdr:to>
      <xdr:col>14</xdr:col>
      <xdr:colOff>28575</xdr:colOff>
      <xdr:row>165</xdr:row>
      <xdr:rowOff>71437</xdr:rowOff>
    </xdr:to>
    <xdr:graphicFrame macro="">
      <xdr:nvGraphicFramePr>
        <xdr:cNvPr id="10" name="Chart 7">
          <a:extLst>
            <a:ext uri="{FF2B5EF4-FFF2-40B4-BE49-F238E27FC236}">
              <a16:creationId xmlns:a16="http://schemas.microsoft.com/office/drawing/2014/main" id="{CD7D9745-D7CF-71C5-74C7-5B58825735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371475</xdr:colOff>
      <xdr:row>144</xdr:row>
      <xdr:rowOff>185737</xdr:rowOff>
    </xdr:from>
    <xdr:to>
      <xdr:col>14</xdr:col>
      <xdr:colOff>66675</xdr:colOff>
      <xdr:row>159</xdr:row>
      <xdr:rowOff>71437</xdr:rowOff>
    </xdr:to>
    <xdr:graphicFrame macro="">
      <xdr:nvGraphicFramePr>
        <xdr:cNvPr id="11" name="Chart 8">
          <a:extLst>
            <a:ext uri="{FF2B5EF4-FFF2-40B4-BE49-F238E27FC236}">
              <a16:creationId xmlns:a16="http://schemas.microsoft.com/office/drawing/2014/main" id="{8E6D2EA5-7CF9-2DC8-5124-79FE998729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552450</xdr:colOff>
      <xdr:row>2</xdr:row>
      <xdr:rowOff>85725</xdr:rowOff>
    </xdr:from>
    <xdr:to>
      <xdr:col>11</xdr:col>
      <xdr:colOff>552450</xdr:colOff>
      <xdr:row>15</xdr:row>
      <xdr:rowOff>133350</xdr:rowOff>
    </xdr:to>
    <mc:AlternateContent xmlns:mc="http://schemas.openxmlformats.org/markup-compatibility/2006" xmlns:a14="http://schemas.microsoft.com/office/drawing/2010/main">
      <mc:Choice Requires="a14">
        <xdr:graphicFrame macro="">
          <xdr:nvGraphicFramePr>
            <xdr:cNvPr id="3" name="StrikePrice">
              <a:extLst>
                <a:ext uri="{FF2B5EF4-FFF2-40B4-BE49-F238E27FC236}">
                  <a16:creationId xmlns:a16="http://schemas.microsoft.com/office/drawing/2014/main" id="{B35E5F30-C2BF-DBED-2583-827359A24582}"/>
                </a:ext>
              </a:extLst>
            </xdr:cNvPr>
            <xdr:cNvGraphicFramePr/>
          </xdr:nvGraphicFramePr>
          <xdr:xfrm>
            <a:off x="0" y="0"/>
            <a:ext cx="0" cy="0"/>
          </xdr:xfrm>
          <a:graphic>
            <a:graphicData uri="http://schemas.microsoft.com/office/drawing/2010/slicer">
              <sle:slicer xmlns:sle="http://schemas.microsoft.com/office/drawing/2010/slicer" name="StrikePrice"/>
            </a:graphicData>
          </a:graphic>
        </xdr:graphicFrame>
      </mc:Choice>
      <mc:Fallback xmlns="">
        <xdr:sp macro="" textlink="">
          <xdr:nvSpPr>
            <xdr:cNvPr id="0" name=""/>
            <xdr:cNvSpPr>
              <a:spLocks noTextEdit="1"/>
            </xdr:cNvSpPr>
          </xdr:nvSpPr>
          <xdr:spPr>
            <a:xfrm>
              <a:off x="5429250" y="4667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600074</xdr:colOff>
      <xdr:row>2</xdr:row>
      <xdr:rowOff>85725</xdr:rowOff>
    </xdr:from>
    <xdr:to>
      <xdr:col>20</xdr:col>
      <xdr:colOff>209549</xdr:colOff>
      <xdr:row>17</xdr:row>
      <xdr:rowOff>9525</xdr:rowOff>
    </xdr:to>
    <xdr:graphicFrame macro="">
      <xdr:nvGraphicFramePr>
        <xdr:cNvPr id="6" name="Chart 5">
          <a:extLst>
            <a:ext uri="{FF2B5EF4-FFF2-40B4-BE49-F238E27FC236}">
              <a16:creationId xmlns:a16="http://schemas.microsoft.com/office/drawing/2014/main" id="{4DE3A34D-312C-4C3B-AF59-BEBF2529E5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21</xdr:row>
      <xdr:rowOff>0</xdr:rowOff>
    </xdr:from>
    <xdr:to>
      <xdr:col>7</xdr:col>
      <xdr:colOff>304800</xdr:colOff>
      <xdr:row>35</xdr:row>
      <xdr:rowOff>76200</xdr:rowOff>
    </xdr:to>
    <xdr:graphicFrame macro="">
      <xdr:nvGraphicFramePr>
        <xdr:cNvPr id="12" name="Chart 11">
          <a:extLst>
            <a:ext uri="{FF2B5EF4-FFF2-40B4-BE49-F238E27FC236}">
              <a16:creationId xmlns:a16="http://schemas.microsoft.com/office/drawing/2014/main" id="{1C332631-735B-40EE-BC59-8B3419503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vesh Pipaliya" refreshedDate="45397.551200810187" createdVersion="8" refreshedVersion="8" minRefreshableVersion="3" recordCount="573" xr:uid="{B019FB07-E773-4A47-BE4A-E579F850CD73}">
  <cacheSource type="worksheet">
    <worksheetSource ref="A1:H1048576" sheet="NData"/>
  </cacheSource>
  <cacheFields count="11">
    <cacheField name="CE_VOL" numFmtId="0">
      <sharedItems containsString="0" containsBlank="1" containsNumber="1" containsInteger="1" minValue="12050" maxValue="1814091"/>
    </cacheField>
    <cacheField name="CE_OI" numFmtId="0">
      <sharedItems containsString="0" containsBlank="1" containsNumber="1" containsInteger="1" minValue="1426" maxValue="147584"/>
    </cacheField>
    <cacheField name="CE_COI" numFmtId="0">
      <sharedItems containsString="0" containsBlank="1" containsNumber="1" containsInteger="1" minValue="0" maxValue="101005"/>
    </cacheField>
    <cacheField name="StrikePrice" numFmtId="0">
      <sharedItems containsString="0" containsBlank="1" containsNumber="1" containsInteger="1" minValue="22100" maxValue="23000" count="20">
        <n v="22100"/>
        <n v="22150"/>
        <n v="22200"/>
        <n v="22250"/>
        <n v="22300"/>
        <n v="22350"/>
        <n v="22400"/>
        <n v="22450"/>
        <n v="22500"/>
        <n v="22550"/>
        <n v="22600"/>
        <n v="22650"/>
        <m/>
        <n v="22700" u="1"/>
        <n v="22750" u="1"/>
        <n v="22800" u="1"/>
        <n v="22850" u="1"/>
        <n v="22900" u="1"/>
        <n v="22950" u="1"/>
        <n v="23000" u="1"/>
      </sharedItems>
    </cacheField>
    <cacheField name="PE_COI" numFmtId="0">
      <sharedItems containsString="0" containsBlank="1" containsNumber="1" containsInteger="1" minValue="-21821" maxValue="122215"/>
    </cacheField>
    <cacheField name="PE_OI" numFmtId="0">
      <sharedItems containsString="0" containsBlank="1" containsNumber="1" containsInteger="1" minValue="16349" maxValue="171602"/>
    </cacheField>
    <cacheField name="PE_VOL" numFmtId="0">
      <sharedItems containsString="0" containsBlank="1" containsNumber="1" containsInteger="1" minValue="39848" maxValue="2506616"/>
    </cacheField>
    <cacheField name="TIME" numFmtId="164">
      <sharedItems containsNonDate="0" containsDate="1" containsString="0" containsBlank="1" minDate="2024-04-11T12:09:08" maxDate="2024-04-15T13:11:00" count="140">
        <d v="2024-04-15T10:37:55"/>
        <d v="2024-04-15T10:40:53"/>
        <d v="2024-04-15T10:43:55"/>
        <d v="2024-04-15T10:43:58"/>
        <d v="2024-04-15T10:47:02"/>
        <d v="2024-04-15T10:50:07"/>
        <d v="2024-04-15T10:53:11"/>
        <d v="2024-04-15T10:56:15"/>
        <d v="2024-04-15T10:59:19"/>
        <d v="2024-04-15T11:02:24"/>
        <d v="2024-04-15T11:05:29"/>
        <d v="2024-04-15T11:08:34"/>
        <d v="2024-04-15T11:11:37"/>
        <d v="2024-04-15T11:14:42"/>
        <d v="2024-04-15T11:17:47"/>
        <d v="2024-04-15T11:20:51"/>
        <d v="2024-04-15T11:23:55"/>
        <d v="2024-04-15T11:27:00"/>
        <d v="2024-04-15T11:30:04"/>
        <d v="2024-04-15T11:33:08"/>
        <d v="2024-04-15T11:36:14"/>
        <d v="2024-04-15T11:39:18"/>
        <d v="2024-04-15T11:42:47"/>
        <d v="2024-04-15T11:45:27"/>
        <d v="2024-04-15T11:48:34"/>
        <d v="2024-04-15T11:51:40"/>
        <d v="2024-04-15T11:54:45"/>
        <d v="2024-04-15T11:57:49"/>
        <d v="2024-04-15T12:00:53"/>
        <d v="2024-04-15T12:03:57"/>
        <d v="2024-04-15T12:07:02"/>
        <d v="2024-04-15T12:10:06"/>
        <d v="2024-04-15T12:13:11"/>
        <d v="2024-04-15T12:16:16"/>
        <d v="2024-04-15T12:19:21"/>
        <d v="2024-04-15T12:22:26"/>
        <d v="2024-04-15T12:25:32"/>
        <d v="2024-04-15T12:28:37"/>
        <d v="2024-04-15T12:31:41"/>
        <d v="2024-04-15T12:34:46"/>
        <d v="2024-04-15T12:37:50"/>
        <d v="2024-04-15T12:40:55"/>
        <d v="2024-04-15T12:44:00"/>
        <d v="2024-04-15T12:47:02"/>
        <d v="2024-04-15T12:47:13"/>
        <d v="2024-04-15T12:50:12"/>
        <d v="2024-04-15T12:55:23"/>
        <d v="2024-04-15T12:59:01"/>
        <d v="2024-04-15T13:02:01"/>
        <d v="2024-04-15T13:04:59"/>
        <d v="2024-04-15T13:07:58"/>
        <d v="2024-04-15T13:11:00"/>
        <m/>
        <d v="2024-04-12T09:16:10" u="1"/>
        <d v="2024-04-12T09:19:10" u="1"/>
        <d v="2024-04-12T09:22:14" u="1"/>
        <d v="2024-04-12T09:25:18" u="1"/>
        <d v="2024-04-12T09:28:22" u="1"/>
        <d v="2024-04-12T09:31:26" u="1"/>
        <d v="2024-04-12T09:34:30" u="1"/>
        <d v="2024-04-12T09:37:34" u="1"/>
        <d v="2024-04-12T09:40:38" u="1"/>
        <d v="2024-04-12T09:45:00" u="1"/>
        <d v="2024-04-12T09:46:55" u="1"/>
        <d v="2024-04-12T09:49:59" u="1"/>
        <d v="2024-04-12T09:50:19" u="1"/>
        <d v="2024-04-12T09:53:03" u="1"/>
        <d v="2024-04-12T09:53:46" u="1"/>
        <d v="2024-04-12T09:56:07" u="1"/>
        <d v="2024-04-12T09:57:29" u="1"/>
        <d v="2024-04-12T09:59:10" u="1"/>
        <d v="2024-04-12T09:59:19" u="1"/>
        <d v="2024-04-12T10:02:16" u="1"/>
        <d v="2024-04-12T10:02:20" u="1"/>
        <d v="2024-04-12T10:03:53" u="1"/>
        <d v="2024-04-12T10:05:23" u="1"/>
        <d v="2024-04-12T10:06:53" u="1"/>
        <d v="2024-04-12T10:08:28" u="1"/>
        <d v="2024-04-12T10:09:52" u="1"/>
        <d v="2024-04-12T10:11:33" u="1"/>
        <d v="2024-04-12T10:12:52" u="1"/>
        <d v="2024-04-12T10:14:40" u="1"/>
        <d v="2024-04-12T10:15:53" u="1"/>
        <d v="2024-04-12T10:17:47" u="1"/>
        <d v="2024-04-12T10:18:53" u="1"/>
        <d v="2024-04-12T10:20:53" u="1"/>
        <d v="2024-04-12T10:21:53" u="1"/>
        <d v="2024-04-12T10:23:58" u="1"/>
        <d v="2024-04-12T10:24:53" u="1"/>
        <d v="2024-04-12T10:27:03" u="1"/>
        <d v="2024-04-12T10:27:53" u="1"/>
        <d v="2024-04-12T10:30:10" u="1"/>
        <d v="2024-04-12T10:30:53" u="1"/>
        <d v="2024-04-12T10:33:16" u="1"/>
        <d v="2024-04-12T10:33:53" u="1"/>
        <d v="2024-04-12T10:36:21" u="1"/>
        <d v="2024-04-12T10:37:42" u="1"/>
        <d v="2024-04-12T10:39:28" u="1"/>
        <d v="2024-04-12T10:39:52" u="1"/>
        <d v="2024-04-12T10:42:33" u="1"/>
        <d v="2024-04-12T10:42:53" u="1"/>
        <d v="2024-04-12T10:45:41" u="1"/>
        <d v="2024-04-12T10:45:53" u="1"/>
        <d v="2024-04-12T10:48:46" u="1"/>
        <d v="2024-04-12T10:48:53" u="1"/>
        <d v="2024-04-12T10:51:49" u="1"/>
        <d v="2024-04-12T10:51:52" u="1"/>
        <d v="2024-04-12T10:53:20" u="1"/>
        <d v="2024-04-12T10:54:59" u="1"/>
        <d v="2024-04-12T10:56:20" u="1"/>
        <d v="2024-04-12T10:58:05" u="1"/>
        <d v="2024-04-12T10:59:20" u="1"/>
        <d v="2024-04-12T11:01:10" u="1"/>
        <d v="2024-04-12T11:02:20" u="1"/>
        <d v="2024-04-12T11:04:16" u="1"/>
        <d v="2024-04-12T11:05:20" u="1"/>
        <d v="2024-04-12T11:07:22" u="1"/>
        <d v="2024-04-12T11:08:20" u="1"/>
        <d v="2024-04-12T11:10:29" u="1"/>
        <d v="2024-04-12T11:11:20" u="1"/>
        <d v="2024-04-12T11:13:36" u="1"/>
        <d v="2024-04-12T11:14:20" u="1"/>
        <d v="2024-04-12T11:16:42" u="1"/>
        <d v="2024-04-12T11:17:20" u="1"/>
        <d v="2024-04-12T11:19:51" u="1"/>
        <d v="2024-04-12T11:20:20" u="1"/>
        <d v="2024-04-12T11:22:57" u="1"/>
        <d v="2024-04-12T11:23:20" u="1"/>
        <d v="2024-04-12T11:26:03" u="1"/>
        <d v="2024-04-12T11:27:31" u="1"/>
        <d v="2024-04-12T11:29:09" u="1"/>
        <d v="2024-04-12T11:29:20" u="1"/>
        <d v="2024-04-12T11:32:18" u="1"/>
        <d v="2024-04-12T11:33:52" u="1"/>
        <d v="2024-04-12T11:35:28" u="1"/>
        <d v="2024-04-12T11:36:52" u="1"/>
        <d v="2024-04-12T11:54:07" u="1"/>
        <d v="2024-04-12T11:57:09" u="1"/>
        <d v="2024-04-11T12:09:08" u="1"/>
        <d v="2024-04-11T12:12:22" u="1"/>
      </sharedItems>
      <fieldGroup par="10"/>
    </cacheField>
    <cacheField name="Seconds (TIME)" numFmtId="0" databaseField="0">
      <fieldGroup base="7">
        <rangePr groupBy="seconds" startDate="2024-04-15T10:37:55" endDate="2024-04-15T13:11:00"/>
        <groupItems count="62">
          <s v="&lt;15-04-2024"/>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5-04-2024"/>
        </groupItems>
      </fieldGroup>
    </cacheField>
    <cacheField name="Minutes (TIME)" numFmtId="0" databaseField="0">
      <fieldGroup base="7">
        <rangePr groupBy="minutes" startDate="2024-04-15T10:37:55" endDate="2024-04-15T13:11:00"/>
        <groupItems count="62">
          <s v="&lt;15-04-2024"/>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5-04-2024"/>
        </groupItems>
      </fieldGroup>
    </cacheField>
    <cacheField name="Hours (TIME)" numFmtId="0" databaseField="0">
      <fieldGroup base="7">
        <rangePr groupBy="hours" startDate="2024-04-15T10:37:55" endDate="2024-04-15T13:11:00"/>
        <groupItems count="26">
          <s v="&lt;15-04-2024"/>
          <s v="12 AM"/>
          <s v="01 AM"/>
          <s v="02 AM"/>
          <s v="03 AM"/>
          <s v="04 AM"/>
          <s v="05 AM"/>
          <s v="06 AM"/>
          <s v="07 AM"/>
          <s v="08 AM"/>
          <s v="09 AM"/>
          <s v="10 AM"/>
          <s v="11 AM"/>
          <s v="12 PM"/>
          <s v="01 PM"/>
          <s v="02 PM"/>
          <s v="03 PM"/>
          <s v="04 PM"/>
          <s v="05 PM"/>
          <s v="06 PM"/>
          <s v="07 PM"/>
          <s v="08 PM"/>
          <s v="09 PM"/>
          <s v="10 PM"/>
          <s v="11 PM"/>
          <s v="&gt;15-04-2024"/>
        </groupItems>
      </fieldGroup>
    </cacheField>
  </cacheFields>
  <extLst>
    <ext xmlns:x14="http://schemas.microsoft.com/office/spreadsheetml/2009/9/main" uri="{725AE2AE-9491-48be-B2B4-4EB974FC3084}">
      <x14:pivotCacheDefinition pivotCacheId="20745031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3">
  <r>
    <n v="15411"/>
    <n v="3406"/>
    <n v="0"/>
    <x v="0"/>
    <n v="0"/>
    <n v="73611"/>
    <n v="472205"/>
    <x v="0"/>
  </r>
  <r>
    <n v="12050"/>
    <n v="2210"/>
    <n v="0"/>
    <x v="1"/>
    <n v="0"/>
    <n v="39012"/>
    <n v="289056"/>
    <x v="0"/>
  </r>
  <r>
    <n v="114442"/>
    <n v="17034"/>
    <n v="0"/>
    <x v="2"/>
    <n v="0"/>
    <n v="149377"/>
    <n v="805440"/>
    <x v="0"/>
  </r>
  <r>
    <n v="107008"/>
    <n v="7618"/>
    <n v="0"/>
    <x v="3"/>
    <n v="0"/>
    <n v="54081"/>
    <n v="536905"/>
    <x v="0"/>
  </r>
  <r>
    <n v="590384"/>
    <n v="54514"/>
    <n v="0"/>
    <x v="4"/>
    <n v="0"/>
    <n v="169929"/>
    <n v="1402869"/>
    <x v="0"/>
  </r>
  <r>
    <n v="446129"/>
    <n v="39572"/>
    <n v="0"/>
    <x v="5"/>
    <n v="0"/>
    <n v="71945"/>
    <n v="733262"/>
    <x v="0"/>
  </r>
  <r>
    <n v="733277"/>
    <n v="75439"/>
    <n v="0"/>
    <x v="6"/>
    <n v="0"/>
    <n v="97707"/>
    <n v="809576"/>
    <x v="0"/>
  </r>
  <r>
    <n v="351236"/>
    <n v="29293"/>
    <n v="0"/>
    <x v="7"/>
    <n v="0"/>
    <n v="27047"/>
    <n v="206422"/>
    <x v="0"/>
  </r>
  <r>
    <n v="736571"/>
    <n v="116073"/>
    <n v="69494"/>
    <x v="8"/>
    <n v="-1914"/>
    <n v="67152"/>
    <n v="342823"/>
    <x v="0"/>
  </r>
  <r>
    <n v="291028"/>
    <n v="43805"/>
    <n v="11200"/>
    <x v="9"/>
    <n v="0"/>
    <n v="18520"/>
    <n v="100013"/>
    <x v="0"/>
  </r>
  <r>
    <n v="587555"/>
    <n v="121225"/>
    <n v="0"/>
    <x v="10"/>
    <n v="0"/>
    <n v="44125"/>
    <n v="137012"/>
    <x v="0"/>
  </r>
  <r>
    <n v="15529"/>
    <n v="3408"/>
    <n v="2629"/>
    <x v="0"/>
    <n v="27387"/>
    <n v="73775"/>
    <n v="477599"/>
    <x v="1"/>
  </r>
  <r>
    <n v="12210"/>
    <n v="2237"/>
    <n v="1969"/>
    <x v="1"/>
    <n v="8605"/>
    <n v="39112"/>
    <n v="292843"/>
    <x v="1"/>
  </r>
  <r>
    <n v="115889"/>
    <n v="16971"/>
    <n v="14547"/>
    <x v="2"/>
    <n v="36495"/>
    <n v="149049"/>
    <n v="815699"/>
    <x v="1"/>
  </r>
  <r>
    <n v="107998"/>
    <n v="7677"/>
    <n v="6625"/>
    <x v="3"/>
    <n v="31794"/>
    <n v="53505"/>
    <n v="544126"/>
    <x v="1"/>
  </r>
  <r>
    <n v="598426"/>
    <n v="55015"/>
    <n v="49743"/>
    <x v="4"/>
    <n v="120215"/>
    <n v="169602"/>
    <n v="1423218"/>
    <x v="1"/>
  </r>
  <r>
    <n v="454487"/>
    <n v="39667"/>
    <n v="37694"/>
    <x v="5"/>
    <n v="45574"/>
    <n v="70597"/>
    <n v="748636"/>
    <x v="1"/>
  </r>
  <r>
    <n v="748123"/>
    <n v="77087"/>
    <n v="66350"/>
    <x v="6"/>
    <n v="44343"/>
    <n v="97339"/>
    <n v="828983"/>
    <x v="1"/>
  </r>
  <r>
    <n v="359160"/>
    <n v="29698"/>
    <n v="24676"/>
    <x v="7"/>
    <n v="11174"/>
    <n v="27307"/>
    <n v="211570"/>
    <x v="1"/>
  </r>
  <r>
    <n v="748970"/>
    <n v="116868"/>
    <n v="70289"/>
    <x v="8"/>
    <n v="-2364"/>
    <n v="66702"/>
    <n v="348149"/>
    <x v="1"/>
  </r>
  <r>
    <n v="296242"/>
    <n v="44271"/>
    <n v="11666"/>
    <x v="9"/>
    <n v="-11749"/>
    <n v="18515"/>
    <n v="101284"/>
    <x v="1"/>
  </r>
  <r>
    <n v="597305"/>
    <n v="122264"/>
    <n v="22549"/>
    <x v="10"/>
    <n v="-19592"/>
    <n v="44214"/>
    <n v="138851"/>
    <x v="1"/>
  </r>
  <r>
    <n v="12540"/>
    <n v="2127"/>
    <n v="1859"/>
    <x v="1"/>
    <n v="9159"/>
    <n v="39666"/>
    <n v="297003"/>
    <x v="2"/>
  </r>
  <r>
    <n v="117597"/>
    <n v="17032"/>
    <n v="14608"/>
    <x v="2"/>
    <n v="36693"/>
    <n v="149247"/>
    <n v="825005"/>
    <x v="2"/>
  </r>
  <r>
    <n v="109222"/>
    <n v="7710"/>
    <n v="6658"/>
    <x v="3"/>
    <n v="30467"/>
    <n v="52178"/>
    <n v="552030"/>
    <x v="2"/>
  </r>
  <r>
    <n v="607930"/>
    <n v="55462"/>
    <n v="50190"/>
    <x v="4"/>
    <n v="120177"/>
    <n v="169564"/>
    <n v="1441377"/>
    <x v="2"/>
  </r>
  <r>
    <n v="463970"/>
    <n v="40240"/>
    <n v="38267"/>
    <x v="5"/>
    <n v="47178"/>
    <n v="72201"/>
    <n v="763631"/>
    <x v="2"/>
  </r>
  <r>
    <n v="766935"/>
    <n v="78140"/>
    <n v="67403"/>
    <x v="6"/>
    <n v="43439"/>
    <n v="96435"/>
    <n v="849396"/>
    <x v="2"/>
  </r>
  <r>
    <n v="367868"/>
    <n v="31050"/>
    <n v="26028"/>
    <x v="7"/>
    <n v="11905"/>
    <n v="28038"/>
    <n v="216943"/>
    <x v="2"/>
  </r>
  <r>
    <n v="765178"/>
    <n v="117815"/>
    <n v="71236"/>
    <x v="8"/>
    <n v="-2689"/>
    <n v="66377"/>
    <n v="354372"/>
    <x v="2"/>
  </r>
  <r>
    <n v="302227"/>
    <n v="44801"/>
    <n v="12196"/>
    <x v="9"/>
    <n v="-12068"/>
    <n v="18196"/>
    <n v="103287"/>
    <x v="2"/>
  </r>
  <r>
    <n v="607381"/>
    <n v="121958"/>
    <n v="22243"/>
    <x v="10"/>
    <n v="-18887"/>
    <n v="44919"/>
    <n v="141583"/>
    <x v="2"/>
  </r>
  <r>
    <n v="346494"/>
    <n v="72727"/>
    <n v="5028"/>
    <x v="11"/>
    <n v="-6198"/>
    <n v="20092"/>
    <n v="39848"/>
    <x v="2"/>
  </r>
  <r>
    <n v="12540"/>
    <n v="2127"/>
    <n v="1859"/>
    <x v="1"/>
    <n v="9159"/>
    <n v="39666"/>
    <n v="297003"/>
    <x v="3"/>
  </r>
  <r>
    <n v="117597"/>
    <n v="17032"/>
    <n v="14608"/>
    <x v="2"/>
    <n v="36693"/>
    <n v="149247"/>
    <n v="825005"/>
    <x v="3"/>
  </r>
  <r>
    <n v="109222"/>
    <n v="7710"/>
    <n v="6658"/>
    <x v="3"/>
    <n v="30467"/>
    <n v="52178"/>
    <n v="552030"/>
    <x v="3"/>
  </r>
  <r>
    <n v="607930"/>
    <n v="55462"/>
    <n v="50190"/>
    <x v="4"/>
    <n v="120177"/>
    <n v="169564"/>
    <n v="1441377"/>
    <x v="3"/>
  </r>
  <r>
    <n v="463970"/>
    <n v="40240"/>
    <n v="38267"/>
    <x v="5"/>
    <n v="47178"/>
    <n v="72201"/>
    <n v="763631"/>
    <x v="3"/>
  </r>
  <r>
    <n v="766935"/>
    <n v="78140"/>
    <n v="67403"/>
    <x v="6"/>
    <n v="43439"/>
    <n v="96435"/>
    <n v="849396"/>
    <x v="3"/>
  </r>
  <r>
    <n v="367868"/>
    <n v="31050"/>
    <n v="26028"/>
    <x v="7"/>
    <n v="11905"/>
    <n v="28038"/>
    <n v="216943"/>
    <x v="3"/>
  </r>
  <r>
    <n v="765178"/>
    <n v="117815"/>
    <n v="71236"/>
    <x v="8"/>
    <n v="-2689"/>
    <n v="66377"/>
    <n v="354372"/>
    <x v="3"/>
  </r>
  <r>
    <n v="302227"/>
    <n v="44801"/>
    <n v="12196"/>
    <x v="9"/>
    <n v="-12068"/>
    <n v="18196"/>
    <n v="103287"/>
    <x v="3"/>
  </r>
  <r>
    <n v="607381"/>
    <n v="121958"/>
    <n v="22243"/>
    <x v="10"/>
    <n v="-18887"/>
    <n v="44919"/>
    <n v="141583"/>
    <x v="3"/>
  </r>
  <r>
    <n v="346494"/>
    <n v="72727"/>
    <n v="5028"/>
    <x v="11"/>
    <n v="-6198"/>
    <n v="20092"/>
    <n v="39848"/>
    <x v="3"/>
  </r>
  <r>
    <n v="12670"/>
    <n v="2130"/>
    <n v="1862"/>
    <x v="1"/>
    <n v="10171"/>
    <n v="40678"/>
    <n v="302914"/>
    <x v="4"/>
  </r>
  <r>
    <n v="119541"/>
    <n v="16951"/>
    <n v="14527"/>
    <x v="2"/>
    <n v="39608"/>
    <n v="152162"/>
    <n v="842888"/>
    <x v="4"/>
  </r>
  <r>
    <n v="110410"/>
    <n v="7683"/>
    <n v="6631"/>
    <x v="3"/>
    <n v="29839"/>
    <n v="51550"/>
    <n v="561305"/>
    <x v="4"/>
  </r>
  <r>
    <n v="618847"/>
    <n v="55507"/>
    <n v="50235"/>
    <x v="4"/>
    <n v="120821"/>
    <n v="170208"/>
    <n v="1463295"/>
    <x v="4"/>
  </r>
  <r>
    <n v="475369"/>
    <n v="40722"/>
    <n v="38749"/>
    <x v="5"/>
    <n v="49706"/>
    <n v="74729"/>
    <n v="782203"/>
    <x v="4"/>
  </r>
  <r>
    <n v="789641"/>
    <n v="79208"/>
    <n v="68471"/>
    <x v="6"/>
    <n v="45132"/>
    <n v="98128"/>
    <n v="873039"/>
    <x v="4"/>
  </r>
  <r>
    <n v="377905"/>
    <n v="31519"/>
    <n v="26497"/>
    <x v="7"/>
    <n v="12837"/>
    <n v="28970"/>
    <n v="223609"/>
    <x v="4"/>
  </r>
  <r>
    <n v="782399"/>
    <n v="116763"/>
    <n v="70184"/>
    <x v="8"/>
    <n v="-1960"/>
    <n v="67106"/>
    <n v="361982"/>
    <x v="4"/>
  </r>
  <r>
    <n v="310539"/>
    <n v="44492"/>
    <n v="11887"/>
    <x v="9"/>
    <n v="-12043"/>
    <n v="18221"/>
    <n v="104774"/>
    <x v="4"/>
  </r>
  <r>
    <n v="617181"/>
    <n v="122135"/>
    <n v="22420"/>
    <x v="10"/>
    <n v="-18693"/>
    <n v="45113"/>
    <n v="143106"/>
    <x v="4"/>
  </r>
  <r>
    <n v="353220"/>
    <n v="72827"/>
    <n v="5128"/>
    <x v="11"/>
    <n v="-6238"/>
    <n v="20052"/>
    <n v="40356"/>
    <x v="4"/>
  </r>
  <r>
    <n v="13066"/>
    <n v="2147"/>
    <n v="1879"/>
    <x v="1"/>
    <n v="10052"/>
    <n v="40559"/>
    <n v="311744"/>
    <x v="5"/>
  </r>
  <r>
    <n v="121600"/>
    <n v="16854"/>
    <n v="14430"/>
    <x v="2"/>
    <n v="39448"/>
    <n v="152002"/>
    <n v="858490"/>
    <x v="5"/>
  </r>
  <r>
    <n v="112025"/>
    <n v="7642"/>
    <n v="6590"/>
    <x v="3"/>
    <n v="29812"/>
    <n v="51523"/>
    <n v="575011"/>
    <x v="5"/>
  </r>
  <r>
    <n v="631199"/>
    <n v="55210"/>
    <n v="49938"/>
    <x v="4"/>
    <n v="118794"/>
    <n v="168181"/>
    <n v="1491745"/>
    <x v="5"/>
  </r>
  <r>
    <n v="489093"/>
    <n v="40974"/>
    <n v="39001"/>
    <x v="5"/>
    <n v="50099"/>
    <n v="75122"/>
    <n v="801707"/>
    <x v="5"/>
  </r>
  <r>
    <n v="818214"/>
    <n v="80283"/>
    <n v="69546"/>
    <x v="6"/>
    <n v="46384"/>
    <n v="99380"/>
    <n v="897922"/>
    <x v="5"/>
  </r>
  <r>
    <n v="391322"/>
    <n v="31171"/>
    <n v="26149"/>
    <x v="7"/>
    <n v="13184"/>
    <n v="29317"/>
    <n v="231353"/>
    <x v="5"/>
  </r>
  <r>
    <n v="804340"/>
    <n v="116376"/>
    <n v="69797"/>
    <x v="8"/>
    <n v="-2144"/>
    <n v="66922"/>
    <n v="371204"/>
    <x v="5"/>
  </r>
  <r>
    <n v="320082"/>
    <n v="44884"/>
    <n v="12279"/>
    <x v="9"/>
    <n v="-11978"/>
    <n v="18286"/>
    <n v="107042"/>
    <x v="5"/>
  </r>
  <r>
    <n v="629846"/>
    <n v="122447"/>
    <n v="22732"/>
    <x v="10"/>
    <n v="-18409"/>
    <n v="45397"/>
    <n v="145503"/>
    <x v="5"/>
  </r>
  <r>
    <n v="361751"/>
    <n v="72923"/>
    <n v="5224"/>
    <x v="11"/>
    <n v="-6228"/>
    <n v="20062"/>
    <n v="40843"/>
    <x v="5"/>
  </r>
  <r>
    <n v="13431"/>
    <n v="2177"/>
    <n v="1909"/>
    <x v="1"/>
    <n v="9629"/>
    <n v="40136"/>
    <n v="321813"/>
    <x v="6"/>
  </r>
  <r>
    <n v="123895"/>
    <n v="16826"/>
    <n v="14402"/>
    <x v="2"/>
    <n v="47831"/>
    <n v="160385"/>
    <n v="889047"/>
    <x v="6"/>
  </r>
  <r>
    <n v="114105"/>
    <n v="7740"/>
    <n v="6688"/>
    <x v="3"/>
    <n v="29962"/>
    <n v="51673"/>
    <n v="590788"/>
    <x v="6"/>
  </r>
  <r>
    <n v="646286"/>
    <n v="54555"/>
    <n v="49283"/>
    <x v="4"/>
    <n v="117874"/>
    <n v="167261"/>
    <n v="1522843"/>
    <x v="6"/>
  </r>
  <r>
    <n v="504937"/>
    <n v="40951"/>
    <n v="38978"/>
    <x v="5"/>
    <n v="50387"/>
    <n v="75410"/>
    <n v="826086"/>
    <x v="6"/>
  </r>
  <r>
    <n v="852777"/>
    <n v="80213"/>
    <n v="69476"/>
    <x v="6"/>
    <n v="48169"/>
    <n v="101165"/>
    <n v="931426"/>
    <x v="6"/>
  </r>
  <r>
    <n v="407665"/>
    <n v="31031"/>
    <n v="26009"/>
    <x v="7"/>
    <n v="14203"/>
    <n v="30336"/>
    <n v="241448"/>
    <x v="6"/>
  </r>
  <r>
    <n v="831710"/>
    <n v="116348"/>
    <n v="69769"/>
    <x v="8"/>
    <n v="-1575"/>
    <n v="67491"/>
    <n v="380873"/>
    <x v="6"/>
  </r>
  <r>
    <n v="332373"/>
    <n v="44896"/>
    <n v="12291"/>
    <x v="9"/>
    <n v="-11997"/>
    <n v="18267"/>
    <n v="110314"/>
    <x v="6"/>
  </r>
  <r>
    <n v="649352"/>
    <n v="122874"/>
    <n v="23159"/>
    <x v="10"/>
    <n v="-17651"/>
    <n v="46155"/>
    <n v="148323"/>
    <x v="6"/>
  </r>
  <r>
    <n v="373251"/>
    <n v="73109"/>
    <n v="5410"/>
    <x v="11"/>
    <n v="-6179"/>
    <n v="20111"/>
    <n v="41632"/>
    <x v="6"/>
  </r>
  <r>
    <n v="13955"/>
    <n v="2214"/>
    <n v="1946"/>
    <x v="1"/>
    <n v="8978"/>
    <n v="39485"/>
    <n v="332143"/>
    <x v="7"/>
  </r>
  <r>
    <n v="129070"/>
    <n v="16959"/>
    <n v="14535"/>
    <x v="2"/>
    <n v="47911"/>
    <n v="160465"/>
    <n v="910328"/>
    <x v="7"/>
  </r>
  <r>
    <n v="117788"/>
    <n v="7221"/>
    <n v="6169"/>
    <x v="3"/>
    <n v="28009"/>
    <n v="49720"/>
    <n v="608040"/>
    <x v="7"/>
  </r>
  <r>
    <n v="674425"/>
    <n v="50810"/>
    <n v="45538"/>
    <x v="4"/>
    <n v="116062"/>
    <n v="165449"/>
    <n v="1557675"/>
    <x v="7"/>
  </r>
  <r>
    <n v="532328"/>
    <n v="36824"/>
    <n v="34851"/>
    <x v="5"/>
    <n v="50236"/>
    <n v="75259"/>
    <n v="851043"/>
    <x v="7"/>
  </r>
  <r>
    <n v="921760"/>
    <n v="75347"/>
    <n v="64610"/>
    <x v="6"/>
    <n v="54902"/>
    <n v="107898"/>
    <n v="976383"/>
    <x v="7"/>
  </r>
  <r>
    <n v="449276"/>
    <n v="30695"/>
    <n v="25673"/>
    <x v="7"/>
    <n v="15925"/>
    <n v="32058"/>
    <n v="257384"/>
    <x v="7"/>
  </r>
  <r>
    <n v="894748"/>
    <n v="113527"/>
    <n v="66948"/>
    <x v="8"/>
    <n v="-511"/>
    <n v="68555"/>
    <n v="399766"/>
    <x v="7"/>
  </r>
  <r>
    <n v="360968"/>
    <n v="44613"/>
    <n v="12008"/>
    <x v="9"/>
    <n v="-11365"/>
    <n v="18899"/>
    <n v="114526"/>
    <x v="7"/>
  </r>
  <r>
    <n v="693248"/>
    <n v="118447"/>
    <n v="18732"/>
    <x v="10"/>
    <n v="-17198"/>
    <n v="46608"/>
    <n v="154193"/>
    <x v="7"/>
  </r>
  <r>
    <n v="398768"/>
    <n v="70713"/>
    <n v="3014"/>
    <x v="11"/>
    <n v="-6188"/>
    <n v="20102"/>
    <n v="43127"/>
    <x v="7"/>
  </r>
  <r>
    <n v="14260"/>
    <n v="2273"/>
    <n v="2005"/>
    <x v="1"/>
    <n v="9026"/>
    <n v="39533"/>
    <n v="339036"/>
    <x v="8"/>
  </r>
  <r>
    <n v="131650"/>
    <n v="17205"/>
    <n v="14781"/>
    <x v="2"/>
    <n v="48068"/>
    <n v="160622"/>
    <n v="927805"/>
    <x v="8"/>
  </r>
  <r>
    <n v="119572"/>
    <n v="6984"/>
    <n v="5932"/>
    <x v="3"/>
    <n v="29464"/>
    <n v="51175"/>
    <n v="624867"/>
    <x v="8"/>
  </r>
  <r>
    <n v="687044"/>
    <n v="49335"/>
    <n v="44063"/>
    <x v="4"/>
    <n v="117323"/>
    <n v="166710"/>
    <n v="1583051"/>
    <x v="8"/>
  </r>
  <r>
    <n v="545316"/>
    <n v="35112"/>
    <n v="33139"/>
    <x v="5"/>
    <n v="52187"/>
    <n v="77210"/>
    <n v="871289"/>
    <x v="8"/>
  </r>
  <r>
    <n v="960328"/>
    <n v="74377"/>
    <n v="63640"/>
    <x v="6"/>
    <n v="60269"/>
    <n v="113265"/>
    <n v="1017087"/>
    <x v="8"/>
  </r>
  <r>
    <n v="477104"/>
    <n v="32800"/>
    <n v="27778"/>
    <x v="7"/>
    <n v="17975"/>
    <n v="34108"/>
    <n v="272563"/>
    <x v="8"/>
  </r>
  <r>
    <n v="933606"/>
    <n v="115496"/>
    <n v="68917"/>
    <x v="8"/>
    <n v="2159"/>
    <n v="71225"/>
    <n v="412994"/>
    <x v="8"/>
  </r>
  <r>
    <n v="377411"/>
    <n v="44428"/>
    <n v="11823"/>
    <x v="9"/>
    <n v="-11008"/>
    <n v="19256"/>
    <n v="117503"/>
    <x v="8"/>
  </r>
  <r>
    <n v="718369"/>
    <n v="118417"/>
    <n v="18702"/>
    <x v="10"/>
    <n v="-17085"/>
    <n v="46721"/>
    <n v="158425"/>
    <x v="8"/>
  </r>
  <r>
    <n v="411808"/>
    <n v="70894"/>
    <n v="3195"/>
    <x v="11"/>
    <n v="-6142"/>
    <n v="20148"/>
    <n v="43940"/>
    <x v="8"/>
  </r>
  <r>
    <n v="14578"/>
    <n v="2337"/>
    <n v="2069"/>
    <x v="1"/>
    <n v="9195"/>
    <n v="39702"/>
    <n v="345080"/>
    <x v="9"/>
  </r>
  <r>
    <n v="133154"/>
    <n v="17152"/>
    <n v="14728"/>
    <x v="2"/>
    <n v="48577"/>
    <n v="161131"/>
    <n v="947205"/>
    <x v="9"/>
  </r>
  <r>
    <n v="120895"/>
    <n v="6662"/>
    <n v="5610"/>
    <x v="3"/>
    <n v="30737"/>
    <n v="52448"/>
    <n v="640024"/>
    <x v="9"/>
  </r>
  <r>
    <n v="698792"/>
    <n v="46889"/>
    <n v="41617"/>
    <x v="4"/>
    <n v="118247"/>
    <n v="167634"/>
    <n v="1607962"/>
    <x v="9"/>
  </r>
  <r>
    <n v="555316"/>
    <n v="33315"/>
    <n v="31342"/>
    <x v="5"/>
    <n v="53694"/>
    <n v="78717"/>
    <n v="887878"/>
    <x v="9"/>
  </r>
  <r>
    <n v="991588"/>
    <n v="72601"/>
    <n v="61864"/>
    <x v="6"/>
    <n v="66902"/>
    <n v="119898"/>
    <n v="1051284"/>
    <x v="9"/>
  </r>
  <r>
    <n v="499930"/>
    <n v="32379"/>
    <n v="27357"/>
    <x v="7"/>
    <n v="19834"/>
    <n v="35967"/>
    <n v="286221"/>
    <x v="9"/>
  </r>
  <r>
    <n v="968146"/>
    <n v="115000"/>
    <n v="68421"/>
    <x v="8"/>
    <n v="3635"/>
    <n v="72701"/>
    <n v="426835"/>
    <x v="9"/>
  </r>
  <r>
    <n v="393232"/>
    <n v="43939"/>
    <n v="11334"/>
    <x v="9"/>
    <n v="-10733"/>
    <n v="19531"/>
    <n v="120295"/>
    <x v="9"/>
  </r>
  <r>
    <n v="745556"/>
    <n v="119176"/>
    <n v="19461"/>
    <x v="10"/>
    <n v="-16807"/>
    <n v="46999"/>
    <n v="162455"/>
    <x v="9"/>
  </r>
  <r>
    <n v="431162"/>
    <n v="70396"/>
    <n v="2697"/>
    <x v="11"/>
    <n v="-6148"/>
    <n v="20142"/>
    <n v="44935"/>
    <x v="9"/>
  </r>
  <r>
    <n v="14735"/>
    <n v="2348"/>
    <n v="2080"/>
    <x v="1"/>
    <n v="9544"/>
    <n v="40051"/>
    <n v="349198"/>
    <x v="10"/>
  </r>
  <r>
    <n v="134037"/>
    <n v="17221"/>
    <n v="14797"/>
    <x v="2"/>
    <n v="48736"/>
    <n v="161290"/>
    <n v="955921"/>
    <x v="10"/>
  </r>
  <r>
    <n v="121647"/>
    <n v="6762"/>
    <n v="5710"/>
    <x v="3"/>
    <n v="30537"/>
    <n v="52248"/>
    <n v="645275"/>
    <x v="10"/>
  </r>
  <r>
    <n v="705177"/>
    <n v="45820"/>
    <n v="40548"/>
    <x v="4"/>
    <n v="119969"/>
    <n v="169356"/>
    <n v="1622665"/>
    <x v="10"/>
  </r>
  <r>
    <n v="561097"/>
    <n v="32447"/>
    <n v="30474"/>
    <x v="5"/>
    <n v="54506"/>
    <n v="79529"/>
    <n v="897199"/>
    <x v="10"/>
  </r>
  <r>
    <n v="1010056"/>
    <n v="73941"/>
    <n v="63204"/>
    <x v="6"/>
    <n v="72123"/>
    <n v="125119"/>
    <n v="1080688"/>
    <x v="10"/>
  </r>
  <r>
    <n v="511908"/>
    <n v="33341"/>
    <n v="28319"/>
    <x v="7"/>
    <n v="20930"/>
    <n v="37063"/>
    <n v="296322"/>
    <x v="10"/>
  </r>
  <r>
    <n v="986264"/>
    <n v="114775"/>
    <n v="68196"/>
    <x v="8"/>
    <n v="5877"/>
    <n v="74943"/>
    <n v="436155"/>
    <x v="10"/>
  </r>
  <r>
    <n v="400681"/>
    <n v="43495"/>
    <n v="10890"/>
    <x v="9"/>
    <n v="-10337"/>
    <n v="19927"/>
    <n v="122070"/>
    <x v="10"/>
  </r>
  <r>
    <n v="758536"/>
    <n v="119329"/>
    <n v="19614"/>
    <x v="10"/>
    <n v="-15895"/>
    <n v="47911"/>
    <n v="165766"/>
    <x v="10"/>
  </r>
  <r>
    <n v="438511"/>
    <n v="70434"/>
    <n v="2735"/>
    <x v="11"/>
    <n v="-6158"/>
    <n v="20132"/>
    <n v="45351"/>
    <x v="10"/>
  </r>
  <r>
    <n v="14784"/>
    <n v="2373"/>
    <n v="2105"/>
    <x v="1"/>
    <n v="9714"/>
    <n v="40221"/>
    <n v="354566"/>
    <x v="11"/>
  </r>
  <r>
    <n v="135511"/>
    <n v="17325"/>
    <n v="14901"/>
    <x v="2"/>
    <n v="49022"/>
    <n v="161576"/>
    <n v="969898"/>
    <x v="11"/>
  </r>
  <r>
    <n v="122552"/>
    <n v="6713"/>
    <n v="5661"/>
    <x v="3"/>
    <n v="30451"/>
    <n v="52162"/>
    <n v="654747"/>
    <x v="11"/>
  </r>
  <r>
    <n v="712942"/>
    <n v="44913"/>
    <n v="39641"/>
    <x v="4"/>
    <n v="120455"/>
    <n v="169842"/>
    <n v="1644161"/>
    <x v="11"/>
  </r>
  <r>
    <n v="567704"/>
    <n v="32085"/>
    <n v="30112"/>
    <x v="5"/>
    <n v="55300"/>
    <n v="80323"/>
    <n v="913868"/>
    <x v="11"/>
  </r>
  <r>
    <n v="1034352"/>
    <n v="74065"/>
    <n v="63328"/>
    <x v="6"/>
    <n v="68903"/>
    <n v="121899"/>
    <n v="1120601"/>
    <x v="11"/>
  </r>
  <r>
    <n v="527457"/>
    <n v="34156"/>
    <n v="29134"/>
    <x v="7"/>
    <n v="21442"/>
    <n v="37575"/>
    <n v="311357"/>
    <x v="11"/>
  </r>
  <r>
    <n v="1011875"/>
    <n v="115697"/>
    <n v="69118"/>
    <x v="8"/>
    <n v="6296"/>
    <n v="75362"/>
    <n v="449357"/>
    <x v="11"/>
  </r>
  <r>
    <n v="410421"/>
    <n v="43204"/>
    <n v="10599"/>
    <x v="9"/>
    <n v="-10369"/>
    <n v="19895"/>
    <n v="124576"/>
    <x v="11"/>
  </r>
  <r>
    <n v="775262"/>
    <n v="119570"/>
    <n v="19855"/>
    <x v="10"/>
    <n v="-16141"/>
    <n v="47665"/>
    <n v="169451"/>
    <x v="11"/>
  </r>
  <r>
    <n v="448486"/>
    <n v="71067"/>
    <n v="3368"/>
    <x v="11"/>
    <n v="-6120"/>
    <n v="20170"/>
    <n v="46413"/>
    <x v="11"/>
  </r>
  <r>
    <n v="14914"/>
    <n v="2344"/>
    <n v="2076"/>
    <x v="1"/>
    <n v="9632"/>
    <n v="40139"/>
    <n v="362830"/>
    <x v="12"/>
  </r>
  <r>
    <n v="137582"/>
    <n v="16942"/>
    <n v="14518"/>
    <x v="2"/>
    <n v="49460"/>
    <n v="162014"/>
    <n v="993013"/>
    <x v="12"/>
  </r>
  <r>
    <n v="123903"/>
    <n v="6705"/>
    <n v="5653"/>
    <x v="3"/>
    <n v="30839"/>
    <n v="52550"/>
    <n v="667161"/>
    <x v="12"/>
  </r>
  <r>
    <n v="722617"/>
    <n v="44437"/>
    <n v="39165"/>
    <x v="4"/>
    <n v="121935"/>
    <n v="171322"/>
    <n v="1675603"/>
    <x v="12"/>
  </r>
  <r>
    <n v="576617"/>
    <n v="31799"/>
    <n v="29826"/>
    <x v="5"/>
    <n v="55450"/>
    <n v="80473"/>
    <n v="940844"/>
    <x v="12"/>
  </r>
  <r>
    <n v="1061772"/>
    <n v="73685"/>
    <n v="62948"/>
    <x v="6"/>
    <n v="64696"/>
    <n v="117692"/>
    <n v="1167984"/>
    <x v="12"/>
  </r>
  <r>
    <n v="543007"/>
    <n v="31831"/>
    <n v="26809"/>
    <x v="7"/>
    <n v="20677"/>
    <n v="36810"/>
    <n v="328087"/>
    <x v="12"/>
  </r>
  <r>
    <n v="1037266"/>
    <n v="112833"/>
    <n v="66254"/>
    <x v="8"/>
    <n v="4287"/>
    <n v="73353"/>
    <n v="463075"/>
    <x v="12"/>
  </r>
  <r>
    <n v="419581"/>
    <n v="42576"/>
    <n v="9971"/>
    <x v="9"/>
    <n v="-10359"/>
    <n v="19905"/>
    <n v="127431"/>
    <x v="12"/>
  </r>
  <r>
    <n v="792707"/>
    <n v="118943"/>
    <n v="19228"/>
    <x v="10"/>
    <n v="-17038"/>
    <n v="46768"/>
    <n v="173972"/>
    <x v="12"/>
  </r>
  <r>
    <n v="458604"/>
    <n v="71264"/>
    <n v="3565"/>
    <x v="11"/>
    <n v="-6053"/>
    <n v="20237"/>
    <n v="47688"/>
    <x v="12"/>
  </r>
  <r>
    <n v="20417"/>
    <n v="3403"/>
    <n v="2624"/>
    <x v="0"/>
    <n v="28200"/>
    <n v="74588"/>
    <n v="593979"/>
    <x v="13"/>
  </r>
  <r>
    <n v="15048"/>
    <n v="2324"/>
    <n v="2056"/>
    <x v="1"/>
    <n v="9791"/>
    <n v="40298"/>
    <n v="371602"/>
    <x v="13"/>
  </r>
  <r>
    <n v="140736"/>
    <n v="16819"/>
    <n v="14395"/>
    <x v="2"/>
    <n v="48320"/>
    <n v="160874"/>
    <n v="1024425"/>
    <x v="13"/>
  </r>
  <r>
    <n v="125694"/>
    <n v="6920"/>
    <n v="5868"/>
    <x v="3"/>
    <n v="30990"/>
    <n v="52701"/>
    <n v="684260"/>
    <x v="13"/>
  </r>
  <r>
    <n v="735145"/>
    <n v="44347"/>
    <n v="39075"/>
    <x v="4"/>
    <n v="121473"/>
    <n v="170860"/>
    <n v="1719549"/>
    <x v="13"/>
  </r>
  <r>
    <n v="588445"/>
    <n v="32345"/>
    <n v="30372"/>
    <x v="5"/>
    <n v="56742"/>
    <n v="81765"/>
    <n v="977197"/>
    <x v="13"/>
  </r>
  <r>
    <n v="1093479"/>
    <n v="73776"/>
    <n v="63039"/>
    <x v="6"/>
    <n v="61668"/>
    <n v="114664"/>
    <n v="1223988"/>
    <x v="13"/>
  </r>
  <r>
    <n v="558843"/>
    <n v="31430"/>
    <n v="26408"/>
    <x v="7"/>
    <n v="19687"/>
    <n v="35820"/>
    <n v="345764"/>
    <x v="13"/>
  </r>
  <r>
    <n v="1064197"/>
    <n v="112575"/>
    <n v="65996"/>
    <x v="8"/>
    <n v="2602"/>
    <n v="71668"/>
    <n v="481201"/>
    <x v="13"/>
  </r>
  <r>
    <n v="429608"/>
    <n v="42483"/>
    <n v="9878"/>
    <x v="9"/>
    <n v="-10585"/>
    <n v="19679"/>
    <n v="131209"/>
    <x v="13"/>
  </r>
  <r>
    <n v="814770"/>
    <n v="120120"/>
    <n v="20405"/>
    <x v="10"/>
    <n v="-17756"/>
    <n v="46050"/>
    <n v="179572"/>
    <x v="13"/>
  </r>
  <r>
    <n v="20920"/>
    <n v="3463"/>
    <n v="2684"/>
    <x v="0"/>
    <n v="27402"/>
    <n v="73790"/>
    <n v="604926"/>
    <x v="14"/>
  </r>
  <r>
    <n v="15351"/>
    <n v="2295"/>
    <n v="2027"/>
    <x v="1"/>
    <n v="9779"/>
    <n v="40286"/>
    <n v="379561"/>
    <x v="14"/>
  </r>
  <r>
    <n v="143902"/>
    <n v="16689"/>
    <n v="14265"/>
    <x v="2"/>
    <n v="44343"/>
    <n v="156897"/>
    <n v="1048784"/>
    <x v="14"/>
  </r>
  <r>
    <n v="127879"/>
    <n v="6905"/>
    <n v="5853"/>
    <x v="3"/>
    <n v="30032"/>
    <n v="51743"/>
    <n v="700827"/>
    <x v="14"/>
  </r>
  <r>
    <n v="747035"/>
    <n v="46157"/>
    <n v="40885"/>
    <x v="4"/>
    <n v="119890"/>
    <n v="169277"/>
    <n v="1755389"/>
    <x v="14"/>
  </r>
  <r>
    <n v="601152"/>
    <n v="33934"/>
    <n v="31961"/>
    <x v="5"/>
    <n v="52948"/>
    <n v="77971"/>
    <n v="1010014"/>
    <x v="14"/>
  </r>
  <r>
    <n v="1122730"/>
    <n v="75900"/>
    <n v="65163"/>
    <x v="6"/>
    <n v="56614"/>
    <n v="109610"/>
    <n v="1271555"/>
    <x v="14"/>
  </r>
  <r>
    <n v="574240"/>
    <n v="31783"/>
    <n v="26761"/>
    <x v="7"/>
    <n v="19002"/>
    <n v="35135"/>
    <n v="360906"/>
    <x v="14"/>
  </r>
  <r>
    <n v="1090309"/>
    <n v="112979"/>
    <n v="66400"/>
    <x v="8"/>
    <n v="1197"/>
    <n v="70263"/>
    <n v="496113"/>
    <x v="14"/>
  </r>
  <r>
    <n v="444353"/>
    <n v="43542"/>
    <n v="10937"/>
    <x v="9"/>
    <n v="-10903"/>
    <n v="19361"/>
    <n v="134162"/>
    <x v="14"/>
  </r>
  <r>
    <n v="836604"/>
    <n v="121860"/>
    <n v="22145"/>
    <x v="10"/>
    <n v="-17532"/>
    <n v="46274"/>
    <n v="185007"/>
    <x v="14"/>
  </r>
  <r>
    <n v="21108"/>
    <n v="3441"/>
    <n v="2662"/>
    <x v="0"/>
    <n v="27619"/>
    <n v="74007"/>
    <n v="613267"/>
    <x v="15"/>
  </r>
  <r>
    <n v="15578"/>
    <n v="2349"/>
    <n v="2081"/>
    <x v="1"/>
    <n v="9501"/>
    <n v="40008"/>
    <n v="386705"/>
    <x v="15"/>
  </r>
  <r>
    <n v="145040"/>
    <n v="16715"/>
    <n v="14291"/>
    <x v="2"/>
    <n v="45530"/>
    <n v="158084"/>
    <n v="1070343"/>
    <x v="15"/>
  </r>
  <r>
    <n v="129090"/>
    <n v="7027"/>
    <n v="5975"/>
    <x v="3"/>
    <n v="29359"/>
    <n v="51070"/>
    <n v="709783"/>
    <x v="15"/>
  </r>
  <r>
    <n v="753851"/>
    <n v="46408"/>
    <n v="41136"/>
    <x v="4"/>
    <n v="119117"/>
    <n v="168504"/>
    <n v="1778726"/>
    <x v="15"/>
  </r>
  <r>
    <n v="607935"/>
    <n v="34874"/>
    <n v="32901"/>
    <x v="5"/>
    <n v="52443"/>
    <n v="77466"/>
    <n v="1027841"/>
    <x v="15"/>
  </r>
  <r>
    <n v="1138327"/>
    <n v="78524"/>
    <n v="67787"/>
    <x v="6"/>
    <n v="55695"/>
    <n v="108691"/>
    <n v="1298986"/>
    <x v="15"/>
  </r>
  <r>
    <n v="582545"/>
    <n v="32337"/>
    <n v="27315"/>
    <x v="7"/>
    <n v="17488"/>
    <n v="33621"/>
    <n v="368878"/>
    <x v="15"/>
  </r>
  <r>
    <n v="1106735"/>
    <n v="116089"/>
    <n v="69510"/>
    <x v="8"/>
    <n v="-544"/>
    <n v="68522"/>
    <n v="504712"/>
    <x v="15"/>
  </r>
  <r>
    <n v="452111"/>
    <n v="46592"/>
    <n v="13987"/>
    <x v="9"/>
    <n v="-11233"/>
    <n v="19031"/>
    <n v="136323"/>
    <x v="15"/>
  </r>
  <r>
    <n v="849394"/>
    <n v="121670"/>
    <n v="21955"/>
    <x v="10"/>
    <n v="-18040"/>
    <n v="45766"/>
    <n v="187671"/>
    <x v="15"/>
  </r>
  <r>
    <n v="15681"/>
    <n v="2295"/>
    <n v="2027"/>
    <x v="1"/>
    <n v="9607"/>
    <n v="40114"/>
    <n v="393667"/>
    <x v="16"/>
  </r>
  <r>
    <n v="146470"/>
    <n v="16677"/>
    <n v="14253"/>
    <x v="2"/>
    <n v="38877"/>
    <n v="151431"/>
    <n v="1085844"/>
    <x v="16"/>
  </r>
  <r>
    <n v="130223"/>
    <n v="6936"/>
    <n v="5884"/>
    <x v="3"/>
    <n v="29319"/>
    <n v="51030"/>
    <n v="717526"/>
    <x v="16"/>
  </r>
  <r>
    <n v="761410"/>
    <n v="46829"/>
    <n v="41557"/>
    <x v="4"/>
    <n v="117892"/>
    <n v="167279"/>
    <n v="1800944"/>
    <x v="16"/>
  </r>
  <r>
    <n v="616536"/>
    <n v="35488"/>
    <n v="33515"/>
    <x v="5"/>
    <n v="51933"/>
    <n v="76956"/>
    <n v="1046392"/>
    <x v="16"/>
  </r>
  <r>
    <n v="1155040"/>
    <n v="79312"/>
    <n v="68575"/>
    <x v="6"/>
    <n v="53594"/>
    <n v="106590"/>
    <n v="1324744"/>
    <x v="16"/>
  </r>
  <r>
    <n v="594129"/>
    <n v="33964"/>
    <n v="28942"/>
    <x v="7"/>
    <n v="17364"/>
    <n v="33497"/>
    <n v="375832"/>
    <x v="16"/>
  </r>
  <r>
    <n v="1124689"/>
    <n v="115549"/>
    <n v="68970"/>
    <x v="8"/>
    <n v="-978"/>
    <n v="68088"/>
    <n v="512741"/>
    <x v="16"/>
  </r>
  <r>
    <n v="456936"/>
    <n v="47180"/>
    <n v="14575"/>
    <x v="9"/>
    <n v="-11281"/>
    <n v="18983"/>
    <n v="138154"/>
    <x v="16"/>
  </r>
  <r>
    <n v="863301"/>
    <n v="125352"/>
    <n v="25637"/>
    <x v="10"/>
    <n v="-17521"/>
    <n v="46285"/>
    <n v="189628"/>
    <x v="16"/>
  </r>
  <r>
    <n v="491868"/>
    <n v="74753"/>
    <n v="7054"/>
    <x v="11"/>
    <n v="-6178"/>
    <n v="20112"/>
    <n v="50164"/>
    <x v="16"/>
  </r>
  <r>
    <n v="21470"/>
    <n v="3399"/>
    <n v="2620"/>
    <x v="0"/>
    <n v="28099"/>
    <n v="74487"/>
    <n v="629239"/>
    <x v="17"/>
  </r>
  <r>
    <n v="15835"/>
    <n v="2280"/>
    <n v="2012"/>
    <x v="1"/>
    <n v="9805"/>
    <n v="40312"/>
    <n v="398599"/>
    <x v="17"/>
  </r>
  <r>
    <n v="147860"/>
    <n v="16738"/>
    <n v="14314"/>
    <x v="2"/>
    <n v="37875"/>
    <n v="150429"/>
    <n v="1095873"/>
    <x v="17"/>
  </r>
  <r>
    <n v="131417"/>
    <n v="6881"/>
    <n v="5829"/>
    <x v="3"/>
    <n v="29430"/>
    <n v="51141"/>
    <n v="724658"/>
    <x v="17"/>
  </r>
  <r>
    <n v="770262"/>
    <n v="47073"/>
    <n v="41801"/>
    <x v="4"/>
    <n v="117834"/>
    <n v="167221"/>
    <n v="1818807"/>
    <x v="17"/>
  </r>
  <r>
    <n v="626443"/>
    <n v="35738"/>
    <n v="33765"/>
    <x v="5"/>
    <n v="51524"/>
    <n v="76547"/>
    <n v="1058972"/>
    <x v="17"/>
  </r>
  <r>
    <n v="1174779"/>
    <n v="79306"/>
    <n v="68569"/>
    <x v="6"/>
    <n v="52386"/>
    <n v="105382"/>
    <n v="1345924"/>
    <x v="17"/>
  </r>
  <r>
    <n v="603111"/>
    <n v="34255"/>
    <n v="29233"/>
    <x v="7"/>
    <n v="17247"/>
    <n v="33380"/>
    <n v="382406"/>
    <x v="17"/>
  </r>
  <r>
    <n v="1137879"/>
    <n v="115164"/>
    <n v="68585"/>
    <x v="8"/>
    <n v="-993"/>
    <n v="68073"/>
    <n v="518932"/>
    <x v="17"/>
  </r>
  <r>
    <n v="462466"/>
    <n v="47494"/>
    <n v="14889"/>
    <x v="9"/>
    <n v="-11173"/>
    <n v="19091"/>
    <n v="139560"/>
    <x v="17"/>
  </r>
  <r>
    <n v="878237"/>
    <n v="126709"/>
    <n v="26994"/>
    <x v="10"/>
    <n v="-17301"/>
    <n v="46505"/>
    <n v="191779"/>
    <x v="17"/>
  </r>
  <r>
    <n v="15961"/>
    <n v="2272"/>
    <n v="2004"/>
    <x v="1"/>
    <n v="8655"/>
    <n v="39162"/>
    <n v="401693"/>
    <x v="18"/>
  </r>
  <r>
    <n v="148876"/>
    <n v="16658"/>
    <n v="14234"/>
    <x v="2"/>
    <n v="37618"/>
    <n v="150172"/>
    <n v="1106221"/>
    <x v="18"/>
  </r>
  <r>
    <n v="131868"/>
    <n v="6926"/>
    <n v="5874"/>
    <x v="3"/>
    <n v="29166"/>
    <n v="50877"/>
    <n v="729396"/>
    <x v="18"/>
  </r>
  <r>
    <n v="775275"/>
    <n v="47939"/>
    <n v="42667"/>
    <x v="4"/>
    <n v="117827"/>
    <n v="167214"/>
    <n v="1830965"/>
    <x v="18"/>
  </r>
  <r>
    <n v="632408"/>
    <n v="36395"/>
    <n v="34422"/>
    <x v="5"/>
    <n v="52263"/>
    <n v="77286"/>
    <n v="1070309"/>
    <x v="18"/>
  </r>
  <r>
    <n v="1187994"/>
    <n v="80280"/>
    <n v="69543"/>
    <x v="6"/>
    <n v="53300"/>
    <n v="106296"/>
    <n v="1363368"/>
    <x v="18"/>
  </r>
  <r>
    <n v="608855"/>
    <n v="34181"/>
    <n v="29159"/>
    <x v="7"/>
    <n v="17581"/>
    <n v="33714"/>
    <n v="387159"/>
    <x v="18"/>
  </r>
  <r>
    <n v="1145081"/>
    <n v="115965"/>
    <n v="69386"/>
    <x v="8"/>
    <n v="-838"/>
    <n v="68228"/>
    <n v="523979"/>
    <x v="18"/>
  </r>
  <r>
    <n v="465184"/>
    <n v="47431"/>
    <n v="14826"/>
    <x v="9"/>
    <n v="-11284"/>
    <n v="18980"/>
    <n v="140312"/>
    <x v="18"/>
  </r>
  <r>
    <n v="884187"/>
    <n v="127934"/>
    <n v="28219"/>
    <x v="10"/>
    <n v="-17168"/>
    <n v="46638"/>
    <n v="192803"/>
    <x v="18"/>
  </r>
  <r>
    <n v="502905"/>
    <n v="77470"/>
    <n v="9771"/>
    <x v="11"/>
    <n v="-6196"/>
    <n v="20094"/>
    <n v="50650"/>
    <x v="18"/>
  </r>
  <r>
    <n v="16175"/>
    <n v="2269"/>
    <n v="2001"/>
    <x v="1"/>
    <n v="9724"/>
    <n v="40231"/>
    <n v="407629"/>
    <x v="19"/>
  </r>
  <r>
    <n v="150409"/>
    <n v="16748"/>
    <n v="14324"/>
    <x v="2"/>
    <n v="38634"/>
    <n v="151188"/>
    <n v="1114158"/>
    <x v="19"/>
  </r>
  <r>
    <n v="132675"/>
    <n v="6836"/>
    <n v="5784"/>
    <x v="3"/>
    <n v="30234"/>
    <n v="51945"/>
    <n v="737086"/>
    <x v="19"/>
  </r>
  <r>
    <n v="783274"/>
    <n v="47543"/>
    <n v="42271"/>
    <x v="4"/>
    <n v="119154"/>
    <n v="168541"/>
    <n v="1846087"/>
    <x v="19"/>
  </r>
  <r>
    <n v="642267"/>
    <n v="36375"/>
    <n v="34402"/>
    <x v="5"/>
    <n v="53643"/>
    <n v="78666"/>
    <n v="1083727"/>
    <x v="19"/>
  </r>
  <r>
    <n v="1208095"/>
    <n v="79404"/>
    <n v="68667"/>
    <x v="6"/>
    <n v="55954"/>
    <n v="108950"/>
    <n v="1382552"/>
    <x v="19"/>
  </r>
  <r>
    <n v="618920"/>
    <n v="34440"/>
    <n v="29418"/>
    <x v="7"/>
    <n v="17971"/>
    <n v="34104"/>
    <n v="392847"/>
    <x v="19"/>
  </r>
  <r>
    <n v="1159517"/>
    <n v="115926"/>
    <n v="69347"/>
    <x v="8"/>
    <n v="-141"/>
    <n v="68925"/>
    <n v="531140"/>
    <x v="19"/>
  </r>
  <r>
    <n v="473220"/>
    <n v="47595"/>
    <n v="14990"/>
    <x v="9"/>
    <n v="-11179"/>
    <n v="19085"/>
    <n v="141894"/>
    <x v="19"/>
  </r>
  <r>
    <n v="894737"/>
    <n v="128477"/>
    <n v="28762"/>
    <x v="10"/>
    <n v="-16988"/>
    <n v="46818"/>
    <n v="194799"/>
    <x v="19"/>
  </r>
  <r>
    <n v="508290"/>
    <n v="77599"/>
    <n v="9900"/>
    <x v="11"/>
    <n v="-6190"/>
    <n v="20100"/>
    <n v="51049"/>
    <x v="19"/>
  </r>
  <r>
    <n v="16215"/>
    <n v="2273"/>
    <n v="2005"/>
    <x v="1"/>
    <n v="11097"/>
    <n v="41604"/>
    <n v="412223"/>
    <x v="20"/>
  </r>
  <r>
    <n v="151037"/>
    <n v="16720"/>
    <n v="14296"/>
    <x v="2"/>
    <n v="38389"/>
    <n v="150943"/>
    <n v="1120942"/>
    <x v="20"/>
  </r>
  <r>
    <n v="133280"/>
    <n v="6699"/>
    <n v="5647"/>
    <x v="3"/>
    <n v="30969"/>
    <n v="52680"/>
    <n v="741744"/>
    <x v="20"/>
  </r>
  <r>
    <n v="788043"/>
    <n v="47217"/>
    <n v="41945"/>
    <x v="4"/>
    <n v="119149"/>
    <n v="168536"/>
    <n v="1859094"/>
    <x v="20"/>
  </r>
  <r>
    <n v="647925"/>
    <n v="35508"/>
    <n v="33535"/>
    <x v="5"/>
    <n v="53191"/>
    <n v="78214"/>
    <n v="1093936"/>
    <x v="20"/>
  </r>
  <r>
    <n v="1223520"/>
    <n v="79850"/>
    <n v="69113"/>
    <x v="6"/>
    <n v="55841"/>
    <n v="108837"/>
    <n v="1400296"/>
    <x v="20"/>
  </r>
  <r>
    <n v="625693"/>
    <n v="34786"/>
    <n v="29764"/>
    <x v="7"/>
    <n v="18061"/>
    <n v="34194"/>
    <n v="398573"/>
    <x v="20"/>
  </r>
  <r>
    <n v="1169482"/>
    <n v="115881"/>
    <n v="69302"/>
    <x v="8"/>
    <n v="-550"/>
    <n v="68516"/>
    <n v="535971"/>
    <x v="20"/>
  </r>
  <r>
    <n v="479161"/>
    <n v="48438"/>
    <n v="15833"/>
    <x v="9"/>
    <n v="-11219"/>
    <n v="19045"/>
    <n v="142716"/>
    <x v="20"/>
  </r>
  <r>
    <n v="902688"/>
    <n v="128323"/>
    <n v="28608"/>
    <x v="10"/>
    <n v="-17157"/>
    <n v="46649"/>
    <n v="196221"/>
    <x v="20"/>
  </r>
  <r>
    <n v="515339"/>
    <n v="77929"/>
    <n v="10230"/>
    <x v="11"/>
    <n v="-6210"/>
    <n v="20080"/>
    <n v="51215"/>
    <x v="20"/>
  </r>
  <r>
    <n v="22055"/>
    <n v="3352"/>
    <n v="2573"/>
    <x v="0"/>
    <n v="28106"/>
    <n v="74494"/>
    <n v="648155"/>
    <x v="21"/>
  </r>
  <r>
    <n v="16346"/>
    <n v="2283"/>
    <n v="2015"/>
    <x v="1"/>
    <n v="12132"/>
    <n v="42639"/>
    <n v="415608"/>
    <x v="21"/>
  </r>
  <r>
    <n v="151783"/>
    <n v="16698"/>
    <n v="14274"/>
    <x v="2"/>
    <n v="38802"/>
    <n v="151356"/>
    <n v="1127854"/>
    <x v="21"/>
  </r>
  <r>
    <n v="133949"/>
    <n v="6773"/>
    <n v="5721"/>
    <x v="3"/>
    <n v="31455"/>
    <n v="53166"/>
    <n v="745516"/>
    <x v="21"/>
  </r>
  <r>
    <n v="792908"/>
    <n v="47468"/>
    <n v="42196"/>
    <x v="4"/>
    <n v="119255"/>
    <n v="168642"/>
    <n v="1872719"/>
    <x v="21"/>
  </r>
  <r>
    <n v="653670"/>
    <n v="35596"/>
    <n v="33623"/>
    <x v="5"/>
    <n v="53886"/>
    <n v="78909"/>
    <n v="1104928"/>
    <x v="21"/>
  </r>
  <r>
    <n v="1234769"/>
    <n v="79892"/>
    <n v="69155"/>
    <x v="6"/>
    <n v="58505"/>
    <n v="111501"/>
    <n v="1419159"/>
    <x v="21"/>
  </r>
  <r>
    <n v="632059"/>
    <n v="34124"/>
    <n v="29102"/>
    <x v="7"/>
    <n v="18815"/>
    <n v="34948"/>
    <n v="403434"/>
    <x v="21"/>
  </r>
  <r>
    <n v="1178313"/>
    <n v="115811"/>
    <n v="69232"/>
    <x v="8"/>
    <n v="-514"/>
    <n v="68552"/>
    <n v="540934"/>
    <x v="21"/>
  </r>
  <r>
    <n v="482792"/>
    <n v="48917"/>
    <n v="16312"/>
    <x v="9"/>
    <n v="-11270"/>
    <n v="18994"/>
    <n v="143765"/>
    <x v="21"/>
  </r>
  <r>
    <n v="915948"/>
    <n v="128561"/>
    <n v="28846"/>
    <x v="10"/>
    <n v="-17254"/>
    <n v="46552"/>
    <n v="197449"/>
    <x v="21"/>
  </r>
  <r>
    <n v="16529"/>
    <n v="2214"/>
    <n v="1946"/>
    <x v="1"/>
    <n v="12569"/>
    <n v="43076"/>
    <n v="419177"/>
    <x v="22"/>
  </r>
  <r>
    <n v="152751"/>
    <n v="16490"/>
    <n v="14066"/>
    <x v="2"/>
    <n v="39275"/>
    <n v="151829"/>
    <n v="1134879"/>
    <x v="22"/>
  </r>
  <r>
    <n v="134884"/>
    <n v="6698"/>
    <n v="5646"/>
    <x v="3"/>
    <n v="31589"/>
    <n v="53300"/>
    <n v="749829"/>
    <x v="22"/>
  </r>
  <r>
    <n v="798286"/>
    <n v="47256"/>
    <n v="41984"/>
    <x v="4"/>
    <n v="119490"/>
    <n v="168877"/>
    <n v="1885909"/>
    <x v="22"/>
  </r>
  <r>
    <n v="662053"/>
    <n v="36384"/>
    <n v="34411"/>
    <x v="5"/>
    <n v="54326"/>
    <n v="79349"/>
    <n v="1116118"/>
    <x v="22"/>
  </r>
  <r>
    <n v="1250038"/>
    <n v="79518"/>
    <n v="68781"/>
    <x v="6"/>
    <n v="59057"/>
    <n v="112053"/>
    <n v="1438183"/>
    <x v="22"/>
  </r>
  <r>
    <n v="640381"/>
    <n v="34462"/>
    <n v="29440"/>
    <x v="7"/>
    <n v="19025"/>
    <n v="35158"/>
    <n v="409658"/>
    <x v="22"/>
  </r>
  <r>
    <n v="1189474"/>
    <n v="115413"/>
    <n v="68834"/>
    <x v="8"/>
    <n v="-231"/>
    <n v="68835"/>
    <n v="546396"/>
    <x v="22"/>
  </r>
  <r>
    <n v="487233"/>
    <n v="48697"/>
    <n v="16092"/>
    <x v="9"/>
    <n v="-11334"/>
    <n v="18930"/>
    <n v="144939"/>
    <x v="22"/>
  </r>
  <r>
    <n v="925616"/>
    <n v="130843"/>
    <n v="31128"/>
    <x v="10"/>
    <n v="-17122"/>
    <n v="46684"/>
    <n v="198654"/>
    <x v="22"/>
  </r>
  <r>
    <n v="523876"/>
    <n v="78622"/>
    <n v="10923"/>
    <x v="11"/>
    <n v="-6317"/>
    <n v="19973"/>
    <n v="51617"/>
    <x v="22"/>
  </r>
  <r>
    <n v="22230"/>
    <n v="3379"/>
    <n v="2600"/>
    <x v="0"/>
    <n v="28371"/>
    <n v="74759"/>
    <n v="654667"/>
    <x v="23"/>
  </r>
  <r>
    <n v="16547"/>
    <n v="2185"/>
    <n v="1917"/>
    <x v="1"/>
    <n v="12641"/>
    <n v="43148"/>
    <n v="421655"/>
    <x v="23"/>
  </r>
  <r>
    <n v="153197"/>
    <n v="16582"/>
    <n v="14158"/>
    <x v="2"/>
    <n v="39034"/>
    <n v="151588"/>
    <n v="1138932"/>
    <x v="23"/>
  </r>
  <r>
    <n v="135313"/>
    <n v="6719"/>
    <n v="5667"/>
    <x v="3"/>
    <n v="31525"/>
    <n v="53236"/>
    <n v="753241"/>
    <x v="23"/>
  </r>
  <r>
    <n v="801325"/>
    <n v="47222"/>
    <n v="41950"/>
    <x v="4"/>
    <n v="120419"/>
    <n v="169806"/>
    <n v="1894591"/>
    <x v="23"/>
  </r>
  <r>
    <n v="666327"/>
    <n v="36445"/>
    <n v="34472"/>
    <x v="5"/>
    <n v="54831"/>
    <n v="79854"/>
    <n v="1122422"/>
    <x v="23"/>
  </r>
  <r>
    <n v="1258498"/>
    <n v="79478"/>
    <n v="68741"/>
    <x v="6"/>
    <n v="59515"/>
    <n v="112511"/>
    <n v="1449628"/>
    <x v="23"/>
  </r>
  <r>
    <n v="646778"/>
    <n v="35093"/>
    <n v="30071"/>
    <x v="7"/>
    <n v="19007"/>
    <n v="35140"/>
    <n v="412803"/>
    <x v="23"/>
  </r>
  <r>
    <n v="1196244"/>
    <n v="115495"/>
    <n v="68916"/>
    <x v="8"/>
    <n v="2"/>
    <n v="69068"/>
    <n v="550352"/>
    <x v="23"/>
  </r>
  <r>
    <n v="490104"/>
    <n v="48738"/>
    <n v="16133"/>
    <x v="9"/>
    <n v="-11317"/>
    <n v="18947"/>
    <n v="145621"/>
    <x v="23"/>
  </r>
  <r>
    <n v="933505"/>
    <n v="130888"/>
    <n v="31173"/>
    <x v="10"/>
    <n v="-17101"/>
    <n v="46705"/>
    <n v="199386"/>
    <x v="23"/>
  </r>
  <r>
    <n v="22397"/>
    <n v="3386"/>
    <n v="2607"/>
    <x v="0"/>
    <n v="28400"/>
    <n v="74788"/>
    <n v="660103"/>
    <x v="24"/>
  </r>
  <r>
    <n v="16739"/>
    <n v="2186"/>
    <n v="1918"/>
    <x v="1"/>
    <n v="12739"/>
    <n v="43246"/>
    <n v="425186"/>
    <x v="24"/>
  </r>
  <r>
    <n v="154542"/>
    <n v="16564"/>
    <n v="14140"/>
    <x v="2"/>
    <n v="39287"/>
    <n v="151841"/>
    <n v="1147223"/>
    <x v="24"/>
  </r>
  <r>
    <n v="136259"/>
    <n v="6728"/>
    <n v="5676"/>
    <x v="3"/>
    <n v="31948"/>
    <n v="53659"/>
    <n v="759363"/>
    <x v="24"/>
  </r>
  <r>
    <n v="807914"/>
    <n v="47308"/>
    <n v="42036"/>
    <x v="4"/>
    <n v="120720"/>
    <n v="170107"/>
    <n v="1911563"/>
    <x v="24"/>
  </r>
  <r>
    <n v="674221"/>
    <n v="36369"/>
    <n v="34396"/>
    <x v="5"/>
    <n v="54560"/>
    <n v="79583"/>
    <n v="1136797"/>
    <x v="24"/>
  </r>
  <r>
    <n v="1273430"/>
    <n v="80646"/>
    <n v="69909"/>
    <x v="6"/>
    <n v="59236"/>
    <n v="112232"/>
    <n v="1471558"/>
    <x v="24"/>
  </r>
  <r>
    <n v="655574"/>
    <n v="35986"/>
    <n v="30964"/>
    <x v="7"/>
    <n v="18847"/>
    <n v="34980"/>
    <n v="419786"/>
    <x v="24"/>
  </r>
  <r>
    <n v="1210397"/>
    <n v="115998"/>
    <n v="69419"/>
    <x v="8"/>
    <n v="202"/>
    <n v="69268"/>
    <n v="557416"/>
    <x v="24"/>
  </r>
  <r>
    <n v="495713"/>
    <n v="48653"/>
    <n v="16048"/>
    <x v="9"/>
    <n v="-11294"/>
    <n v="18970"/>
    <n v="146900"/>
    <x v="24"/>
  </r>
  <r>
    <n v="946486"/>
    <n v="133911"/>
    <n v="34196"/>
    <x v="10"/>
    <n v="-17055"/>
    <n v="46751"/>
    <n v="201161"/>
    <x v="24"/>
  </r>
  <r>
    <n v="22581"/>
    <n v="3407"/>
    <n v="2628"/>
    <x v="0"/>
    <n v="28608"/>
    <n v="74996"/>
    <n v="665612"/>
    <x v="25"/>
  </r>
  <r>
    <n v="16849"/>
    <n v="2178"/>
    <n v="1910"/>
    <x v="1"/>
    <n v="12640"/>
    <n v="43147"/>
    <n v="429796"/>
    <x v="25"/>
  </r>
  <r>
    <n v="155971"/>
    <n v="16506"/>
    <n v="14082"/>
    <x v="2"/>
    <n v="38836"/>
    <n v="151390"/>
    <n v="1156951"/>
    <x v="25"/>
  </r>
  <r>
    <n v="137333"/>
    <n v="6688"/>
    <n v="5636"/>
    <x v="3"/>
    <n v="32123"/>
    <n v="53834"/>
    <n v="766095"/>
    <x v="25"/>
  </r>
  <r>
    <n v="816391"/>
    <n v="47684"/>
    <n v="42412"/>
    <x v="4"/>
    <n v="120157"/>
    <n v="169544"/>
    <n v="1930856"/>
    <x v="25"/>
  </r>
  <r>
    <n v="682154"/>
    <n v="36460"/>
    <n v="34487"/>
    <x v="5"/>
    <n v="55233"/>
    <n v="80256"/>
    <n v="1152539"/>
    <x v="25"/>
  </r>
  <r>
    <n v="1291154"/>
    <n v="81028"/>
    <n v="70291"/>
    <x v="6"/>
    <n v="60356"/>
    <n v="113352"/>
    <n v="1497444"/>
    <x v="25"/>
  </r>
  <r>
    <n v="665623"/>
    <n v="35853"/>
    <n v="30831"/>
    <x v="7"/>
    <n v="18628"/>
    <n v="34761"/>
    <n v="427723"/>
    <x v="25"/>
  </r>
  <r>
    <n v="1227915"/>
    <n v="116970"/>
    <n v="70391"/>
    <x v="8"/>
    <n v="535"/>
    <n v="69601"/>
    <n v="564255"/>
    <x v="25"/>
  </r>
  <r>
    <n v="502609"/>
    <n v="49031"/>
    <n v="16426"/>
    <x v="9"/>
    <n v="-11295"/>
    <n v="18969"/>
    <n v="148605"/>
    <x v="25"/>
  </r>
  <r>
    <n v="961644"/>
    <n v="135584"/>
    <n v="35869"/>
    <x v="10"/>
    <n v="-17097"/>
    <n v="46709"/>
    <n v="203014"/>
    <x v="25"/>
  </r>
  <r>
    <n v="22970"/>
    <n v="3397"/>
    <n v="2618"/>
    <x v="0"/>
    <n v="28231"/>
    <n v="74619"/>
    <n v="671958"/>
    <x v="26"/>
  </r>
  <r>
    <n v="17036"/>
    <n v="2137"/>
    <n v="1869"/>
    <x v="1"/>
    <n v="12714"/>
    <n v="43221"/>
    <n v="435232"/>
    <x v="26"/>
  </r>
  <r>
    <n v="158133"/>
    <n v="16534"/>
    <n v="14110"/>
    <x v="2"/>
    <n v="38652"/>
    <n v="151206"/>
    <n v="1168510"/>
    <x v="26"/>
  </r>
  <r>
    <n v="139102"/>
    <n v="6623"/>
    <n v="5571"/>
    <x v="3"/>
    <n v="32060"/>
    <n v="53771"/>
    <n v="781253"/>
    <x v="26"/>
  </r>
  <r>
    <n v="827140"/>
    <n v="49015"/>
    <n v="43743"/>
    <x v="4"/>
    <n v="117545"/>
    <n v="166932"/>
    <n v="1953175"/>
    <x v="26"/>
  </r>
  <r>
    <n v="692687"/>
    <n v="36822"/>
    <n v="34849"/>
    <x v="5"/>
    <n v="53460"/>
    <n v="78483"/>
    <n v="1172051"/>
    <x v="26"/>
  </r>
  <r>
    <n v="1313395"/>
    <n v="83247"/>
    <n v="72510"/>
    <x v="6"/>
    <n v="58427"/>
    <n v="111423"/>
    <n v="1525492"/>
    <x v="26"/>
  </r>
  <r>
    <n v="678590"/>
    <n v="36651"/>
    <n v="31629"/>
    <x v="7"/>
    <n v="18330"/>
    <n v="34463"/>
    <n v="436901"/>
    <x v="26"/>
  </r>
  <r>
    <n v="1248866"/>
    <n v="117624"/>
    <n v="71045"/>
    <x v="8"/>
    <n v="-649"/>
    <n v="68417"/>
    <n v="573725"/>
    <x v="26"/>
  </r>
  <r>
    <n v="509603"/>
    <n v="49248"/>
    <n v="16643"/>
    <x v="9"/>
    <n v="-11422"/>
    <n v="18842"/>
    <n v="150914"/>
    <x v="26"/>
  </r>
  <r>
    <n v="975498"/>
    <n v="135380"/>
    <n v="35665"/>
    <x v="10"/>
    <n v="-17221"/>
    <n v="46585"/>
    <n v="206438"/>
    <x v="26"/>
  </r>
  <r>
    <n v="23150"/>
    <n v="3455"/>
    <n v="2676"/>
    <x v="0"/>
    <n v="28301"/>
    <n v="74689"/>
    <n v="678146"/>
    <x v="27"/>
  </r>
  <r>
    <n v="17118"/>
    <n v="2137"/>
    <n v="1869"/>
    <x v="1"/>
    <n v="12903"/>
    <n v="43410"/>
    <n v="438189"/>
    <x v="27"/>
  </r>
  <r>
    <n v="158933"/>
    <n v="16399"/>
    <n v="13975"/>
    <x v="2"/>
    <n v="38618"/>
    <n v="151172"/>
    <n v="1177142"/>
    <x v="27"/>
  </r>
  <r>
    <n v="139901"/>
    <n v="6661"/>
    <n v="5609"/>
    <x v="3"/>
    <n v="30836"/>
    <n v="52547"/>
    <n v="786325"/>
    <x v="27"/>
  </r>
  <r>
    <n v="833591"/>
    <n v="49114"/>
    <n v="43842"/>
    <x v="4"/>
    <n v="118127"/>
    <n v="167514"/>
    <n v="1967632"/>
    <x v="27"/>
  </r>
  <r>
    <n v="698778"/>
    <n v="36109"/>
    <n v="34136"/>
    <x v="5"/>
    <n v="52829"/>
    <n v="77852"/>
    <n v="1184871"/>
    <x v="27"/>
  </r>
  <r>
    <n v="1324830"/>
    <n v="83049"/>
    <n v="72312"/>
    <x v="6"/>
    <n v="57644"/>
    <n v="110640"/>
    <n v="1542649"/>
    <x v="27"/>
  </r>
  <r>
    <n v="685250"/>
    <n v="36350"/>
    <n v="31328"/>
    <x v="7"/>
    <n v="17785"/>
    <n v="33918"/>
    <n v="443241"/>
    <x v="27"/>
  </r>
  <r>
    <n v="1262945"/>
    <n v="119114"/>
    <n v="72535"/>
    <x v="8"/>
    <n v="-1226"/>
    <n v="67840"/>
    <n v="578357"/>
    <x v="27"/>
  </r>
  <r>
    <n v="513571"/>
    <n v="49442"/>
    <n v="16837"/>
    <x v="9"/>
    <n v="-11661"/>
    <n v="18603"/>
    <n v="151871"/>
    <x v="27"/>
  </r>
  <r>
    <n v="982887"/>
    <n v="135327"/>
    <n v="35612"/>
    <x v="10"/>
    <n v="-17555"/>
    <n v="46251"/>
    <n v="207716"/>
    <x v="27"/>
  </r>
  <r>
    <n v="17271"/>
    <n v="2104"/>
    <n v="1836"/>
    <x v="1"/>
    <n v="12817"/>
    <n v="43324"/>
    <n v="443487"/>
    <x v="28"/>
  </r>
  <r>
    <n v="160494"/>
    <n v="16450"/>
    <n v="14026"/>
    <x v="2"/>
    <n v="38173"/>
    <n v="150727"/>
    <n v="1188382"/>
    <x v="28"/>
  </r>
  <r>
    <n v="141033"/>
    <n v="6712"/>
    <n v="5660"/>
    <x v="3"/>
    <n v="30671"/>
    <n v="52382"/>
    <n v="799052"/>
    <x v="28"/>
  </r>
  <r>
    <n v="841432"/>
    <n v="49953"/>
    <n v="44681"/>
    <x v="4"/>
    <n v="117920"/>
    <n v="167307"/>
    <n v="1984921"/>
    <x v="28"/>
  </r>
  <r>
    <n v="708031"/>
    <n v="37033"/>
    <n v="35060"/>
    <x v="5"/>
    <n v="52928"/>
    <n v="77951"/>
    <n v="1199444"/>
    <x v="28"/>
  </r>
  <r>
    <n v="1343994"/>
    <n v="84102"/>
    <n v="73365"/>
    <x v="6"/>
    <n v="56710"/>
    <n v="109706"/>
    <n v="1564055"/>
    <x v="28"/>
  </r>
  <r>
    <n v="695550"/>
    <n v="37430"/>
    <n v="32408"/>
    <x v="7"/>
    <n v="17698"/>
    <n v="33831"/>
    <n v="450629"/>
    <x v="28"/>
  </r>
  <r>
    <n v="1275957"/>
    <n v="119666"/>
    <n v="73087"/>
    <x v="8"/>
    <n v="-1228"/>
    <n v="67838"/>
    <n v="585605"/>
    <x v="28"/>
  </r>
  <r>
    <n v="519706"/>
    <n v="49886"/>
    <n v="17281"/>
    <x v="9"/>
    <n v="-11742"/>
    <n v="18522"/>
    <n v="153111"/>
    <x v="28"/>
  </r>
  <r>
    <n v="993506"/>
    <n v="135935"/>
    <n v="36220"/>
    <x v="10"/>
    <n v="-17660"/>
    <n v="46146"/>
    <n v="209445"/>
    <x v="28"/>
  </r>
  <r>
    <n v="556517"/>
    <n v="80924"/>
    <n v="13225"/>
    <x v="11"/>
    <n v="-6320"/>
    <n v="19970"/>
    <n v="52986"/>
    <x v="28"/>
  </r>
  <r>
    <n v="17384"/>
    <n v="2078"/>
    <n v="1810"/>
    <x v="1"/>
    <n v="13331"/>
    <n v="43838"/>
    <n v="446321"/>
    <x v="29"/>
  </r>
  <r>
    <n v="161458"/>
    <n v="16299"/>
    <n v="13875"/>
    <x v="2"/>
    <n v="38286"/>
    <n v="150840"/>
    <n v="1196695"/>
    <x v="29"/>
  </r>
  <r>
    <n v="141867"/>
    <n v="6630"/>
    <n v="5578"/>
    <x v="3"/>
    <n v="32144"/>
    <n v="53855"/>
    <n v="807149"/>
    <x v="29"/>
  </r>
  <r>
    <n v="848049"/>
    <n v="49312"/>
    <n v="44040"/>
    <x v="4"/>
    <n v="118955"/>
    <n v="168342"/>
    <n v="1997087"/>
    <x v="29"/>
  </r>
  <r>
    <n v="715719"/>
    <n v="37960"/>
    <n v="35987"/>
    <x v="5"/>
    <n v="53429"/>
    <n v="78452"/>
    <n v="1208435"/>
    <x v="29"/>
  </r>
  <r>
    <n v="1360099"/>
    <n v="85327"/>
    <n v="74590"/>
    <x v="6"/>
    <n v="57471"/>
    <n v="110467"/>
    <n v="1579641"/>
    <x v="29"/>
  </r>
  <r>
    <n v="704779"/>
    <n v="38491"/>
    <n v="33469"/>
    <x v="7"/>
    <n v="17235"/>
    <n v="33368"/>
    <n v="455443"/>
    <x v="29"/>
  </r>
  <r>
    <n v="1287863"/>
    <n v="120021"/>
    <n v="73442"/>
    <x v="8"/>
    <n v="-1716"/>
    <n v="67350"/>
    <n v="591245"/>
    <x v="29"/>
  </r>
  <r>
    <n v="524994"/>
    <n v="50679"/>
    <n v="18074"/>
    <x v="9"/>
    <n v="-11696"/>
    <n v="18568"/>
    <n v="154030"/>
    <x v="29"/>
  </r>
  <r>
    <n v="1001548"/>
    <n v="137033"/>
    <n v="37318"/>
    <x v="10"/>
    <n v="-17747"/>
    <n v="46059"/>
    <n v="210414"/>
    <x v="29"/>
  </r>
  <r>
    <n v="560624"/>
    <n v="81211"/>
    <n v="13512"/>
    <x v="11"/>
    <n v="-6215"/>
    <n v="20075"/>
    <n v="53129"/>
    <x v="29"/>
  </r>
  <r>
    <n v="17408"/>
    <n v="2013"/>
    <n v="1745"/>
    <x v="1"/>
    <n v="13175"/>
    <n v="43682"/>
    <n v="448923"/>
    <x v="30"/>
  </r>
  <r>
    <n v="162404"/>
    <n v="16340"/>
    <n v="13916"/>
    <x v="2"/>
    <n v="38273"/>
    <n v="150827"/>
    <n v="1203794"/>
    <x v="30"/>
  </r>
  <r>
    <n v="142563"/>
    <n v="6660"/>
    <n v="5608"/>
    <x v="3"/>
    <n v="32652"/>
    <n v="54363"/>
    <n v="812649"/>
    <x v="30"/>
  </r>
  <r>
    <n v="854254"/>
    <n v="49588"/>
    <n v="44316"/>
    <x v="4"/>
    <n v="119437"/>
    <n v="168824"/>
    <n v="2011060"/>
    <x v="30"/>
  </r>
  <r>
    <n v="722471"/>
    <n v="38203"/>
    <n v="36230"/>
    <x v="5"/>
    <n v="53409"/>
    <n v="78432"/>
    <n v="1219460"/>
    <x v="30"/>
  </r>
  <r>
    <n v="1374211"/>
    <n v="86576"/>
    <n v="75839"/>
    <x v="6"/>
    <n v="57074"/>
    <n v="110070"/>
    <n v="1594885"/>
    <x v="30"/>
  </r>
  <r>
    <n v="712203"/>
    <n v="38918"/>
    <n v="33896"/>
    <x v="7"/>
    <n v="17244"/>
    <n v="33377"/>
    <n v="460092"/>
    <x v="30"/>
  </r>
  <r>
    <n v="1298076"/>
    <n v="120968"/>
    <n v="74389"/>
    <x v="8"/>
    <n v="-1846"/>
    <n v="67220"/>
    <n v="596811"/>
    <x v="30"/>
  </r>
  <r>
    <n v="530381"/>
    <n v="50047"/>
    <n v="17442"/>
    <x v="9"/>
    <n v="-11759"/>
    <n v="18505"/>
    <n v="154944"/>
    <x v="30"/>
  </r>
  <r>
    <n v="1010129"/>
    <n v="137491"/>
    <n v="37776"/>
    <x v="10"/>
    <n v="-17806"/>
    <n v="46000"/>
    <n v="211803"/>
    <x v="30"/>
  </r>
  <r>
    <n v="564510"/>
    <n v="81083"/>
    <n v="13384"/>
    <x v="11"/>
    <n v="-6202"/>
    <n v="20088"/>
    <n v="53385"/>
    <x v="30"/>
  </r>
  <r>
    <n v="17462"/>
    <n v="1990"/>
    <n v="1722"/>
    <x v="1"/>
    <n v="13510"/>
    <n v="44017"/>
    <n v="451245"/>
    <x v="31"/>
  </r>
  <r>
    <n v="163395"/>
    <n v="16402"/>
    <n v="13978"/>
    <x v="2"/>
    <n v="37631"/>
    <n v="150185"/>
    <n v="1210581"/>
    <x v="31"/>
  </r>
  <r>
    <n v="143225"/>
    <n v="6642"/>
    <n v="5590"/>
    <x v="3"/>
    <n v="32858"/>
    <n v="54569"/>
    <n v="816464"/>
    <x v="31"/>
  </r>
  <r>
    <n v="859555"/>
    <n v="49710"/>
    <n v="44438"/>
    <x v="4"/>
    <n v="118831"/>
    <n v="168218"/>
    <n v="2022586"/>
    <x v="31"/>
  </r>
  <r>
    <n v="729067"/>
    <n v="38255"/>
    <n v="36282"/>
    <x v="5"/>
    <n v="54008"/>
    <n v="79031"/>
    <n v="1229439"/>
    <x v="31"/>
  </r>
  <r>
    <n v="1387948"/>
    <n v="87343"/>
    <n v="76606"/>
    <x v="6"/>
    <n v="58254"/>
    <n v="111250"/>
    <n v="1607845"/>
    <x v="31"/>
  </r>
  <r>
    <n v="718988"/>
    <n v="39203"/>
    <n v="34181"/>
    <x v="7"/>
    <n v="17648"/>
    <n v="33781"/>
    <n v="463974"/>
    <x v="31"/>
  </r>
  <r>
    <n v="1308472"/>
    <n v="121036"/>
    <n v="74457"/>
    <x v="8"/>
    <n v="-2267"/>
    <n v="66799"/>
    <n v="601466"/>
    <x v="31"/>
  </r>
  <r>
    <n v="534478"/>
    <n v="50400"/>
    <n v="17795"/>
    <x v="9"/>
    <n v="-11902"/>
    <n v="18362"/>
    <n v="156018"/>
    <x v="31"/>
  </r>
  <r>
    <n v="1017887"/>
    <n v="137137"/>
    <n v="37422"/>
    <x v="10"/>
    <n v="-17357"/>
    <n v="46449"/>
    <n v="213042"/>
    <x v="31"/>
  </r>
  <r>
    <n v="567772"/>
    <n v="81585"/>
    <n v="13886"/>
    <x v="11"/>
    <n v="-6215"/>
    <n v="20075"/>
    <n v="53610"/>
    <x v="31"/>
  </r>
  <r>
    <n v="17614"/>
    <n v="1972"/>
    <n v="1704"/>
    <x v="1"/>
    <n v="13561"/>
    <n v="44068"/>
    <n v="454066"/>
    <x v="32"/>
  </r>
  <r>
    <n v="164758"/>
    <n v="16336"/>
    <n v="13912"/>
    <x v="2"/>
    <n v="37883"/>
    <n v="150437"/>
    <n v="1216881"/>
    <x v="32"/>
  </r>
  <r>
    <n v="143846"/>
    <n v="6598"/>
    <n v="5546"/>
    <x v="3"/>
    <n v="33113"/>
    <n v="54824"/>
    <n v="821659"/>
    <x v="32"/>
  </r>
  <r>
    <n v="865065"/>
    <n v="49382"/>
    <n v="44110"/>
    <x v="4"/>
    <n v="119011"/>
    <n v="168398"/>
    <n v="2033248"/>
    <x v="32"/>
  </r>
  <r>
    <n v="737585"/>
    <n v="38404"/>
    <n v="36431"/>
    <x v="5"/>
    <n v="54236"/>
    <n v="79259"/>
    <n v="1238778"/>
    <x v="32"/>
  </r>
  <r>
    <n v="1405920"/>
    <n v="88987"/>
    <n v="78250"/>
    <x v="6"/>
    <n v="59533"/>
    <n v="112529"/>
    <n v="1621797"/>
    <x v="32"/>
  </r>
  <r>
    <n v="726939"/>
    <n v="38716"/>
    <n v="33694"/>
    <x v="7"/>
    <n v="17683"/>
    <n v="33816"/>
    <n v="468047"/>
    <x v="32"/>
  </r>
  <r>
    <n v="1320557"/>
    <n v="120681"/>
    <n v="74102"/>
    <x v="8"/>
    <n v="-2116"/>
    <n v="66950"/>
    <n v="606129"/>
    <x v="32"/>
  </r>
  <r>
    <n v="539491"/>
    <n v="50633"/>
    <n v="18028"/>
    <x v="9"/>
    <n v="-11887"/>
    <n v="18377"/>
    <n v="156811"/>
    <x v="32"/>
  </r>
  <r>
    <n v="1026591"/>
    <n v="137187"/>
    <n v="37472"/>
    <x v="10"/>
    <n v="-17307"/>
    <n v="46499"/>
    <n v="214208"/>
    <x v="32"/>
  </r>
  <r>
    <n v="572453"/>
    <n v="81155"/>
    <n v="13456"/>
    <x v="11"/>
    <n v="-6204"/>
    <n v="20086"/>
    <n v="53791"/>
    <x v="32"/>
  </r>
  <r>
    <n v="17740"/>
    <n v="1973"/>
    <n v="1705"/>
    <x v="1"/>
    <n v="13551"/>
    <n v="44058"/>
    <n v="457286"/>
    <x v="33"/>
  </r>
  <r>
    <n v="165843"/>
    <n v="16339"/>
    <n v="13915"/>
    <x v="2"/>
    <n v="38568"/>
    <n v="151122"/>
    <n v="1226359"/>
    <x v="33"/>
  </r>
  <r>
    <n v="144842"/>
    <n v="6522"/>
    <n v="5470"/>
    <x v="3"/>
    <n v="32714"/>
    <n v="54425"/>
    <n v="828561"/>
    <x v="33"/>
  </r>
  <r>
    <n v="872828"/>
    <n v="48718"/>
    <n v="43446"/>
    <x v="4"/>
    <n v="119537"/>
    <n v="168924"/>
    <n v="2046376"/>
    <x v="33"/>
  </r>
  <r>
    <n v="748480"/>
    <n v="38463"/>
    <n v="36490"/>
    <x v="5"/>
    <n v="54814"/>
    <n v="79837"/>
    <n v="1249315"/>
    <x v="33"/>
  </r>
  <r>
    <n v="1428467"/>
    <n v="89363"/>
    <n v="78626"/>
    <x v="6"/>
    <n v="62131"/>
    <n v="115127"/>
    <n v="1639840"/>
    <x v="33"/>
  </r>
  <r>
    <n v="738764"/>
    <n v="39048"/>
    <n v="34026"/>
    <x v="7"/>
    <n v="18279"/>
    <n v="34412"/>
    <n v="473398"/>
    <x v="33"/>
  </r>
  <r>
    <n v="1337712"/>
    <n v="120531"/>
    <n v="73952"/>
    <x v="8"/>
    <n v="-1706"/>
    <n v="67360"/>
    <n v="612216"/>
    <x v="33"/>
  </r>
  <r>
    <n v="547604"/>
    <n v="49977"/>
    <n v="17372"/>
    <x v="9"/>
    <n v="-11797"/>
    <n v="18467"/>
    <n v="158067"/>
    <x v="33"/>
  </r>
  <r>
    <n v="1040810"/>
    <n v="137347"/>
    <n v="37632"/>
    <x v="10"/>
    <n v="-17528"/>
    <n v="46278"/>
    <n v="216194"/>
    <x v="33"/>
  </r>
  <r>
    <n v="579066"/>
    <n v="81214"/>
    <n v="13515"/>
    <x v="11"/>
    <n v="-6276"/>
    <n v="20014"/>
    <n v="54146"/>
    <x v="33"/>
  </r>
  <r>
    <n v="17857"/>
    <n v="1973"/>
    <n v="1705"/>
    <x v="1"/>
    <n v="13661"/>
    <n v="44168"/>
    <n v="459518"/>
    <x v="34"/>
  </r>
  <r>
    <n v="166859"/>
    <n v="16326"/>
    <n v="13902"/>
    <x v="2"/>
    <n v="38961"/>
    <n v="151515"/>
    <n v="1231732"/>
    <x v="34"/>
  </r>
  <r>
    <n v="145662"/>
    <n v="6469"/>
    <n v="5417"/>
    <x v="3"/>
    <n v="32963"/>
    <n v="54674"/>
    <n v="832847"/>
    <x v="34"/>
  </r>
  <r>
    <n v="877876"/>
    <n v="48240"/>
    <n v="42968"/>
    <x v="4"/>
    <n v="120113"/>
    <n v="169500"/>
    <n v="2056763"/>
    <x v="34"/>
  </r>
  <r>
    <n v="756093"/>
    <n v="38744"/>
    <n v="36771"/>
    <x v="5"/>
    <n v="55901"/>
    <n v="80924"/>
    <n v="1257261"/>
    <x v="34"/>
  </r>
  <r>
    <n v="1442761"/>
    <n v="88123"/>
    <n v="77386"/>
    <x v="6"/>
    <n v="63743"/>
    <n v="116739"/>
    <n v="1656253"/>
    <x v="34"/>
  </r>
  <r>
    <n v="745798"/>
    <n v="38500"/>
    <n v="33478"/>
    <x v="7"/>
    <n v="18550"/>
    <n v="34683"/>
    <n v="477542"/>
    <x v="34"/>
  </r>
  <r>
    <n v="1348899"/>
    <n v="120322"/>
    <n v="73743"/>
    <x v="8"/>
    <n v="-1083"/>
    <n v="67983"/>
    <n v="617827"/>
    <x v="34"/>
  </r>
  <r>
    <n v="551919"/>
    <n v="50252"/>
    <n v="17647"/>
    <x v="9"/>
    <n v="-11873"/>
    <n v="18391"/>
    <n v="159158"/>
    <x v="34"/>
  </r>
  <r>
    <n v="1049182"/>
    <n v="137519"/>
    <n v="37804"/>
    <x v="10"/>
    <n v="-17540"/>
    <n v="46266"/>
    <n v="217661"/>
    <x v="34"/>
  </r>
  <r>
    <n v="583816"/>
    <n v="81539"/>
    <n v="13840"/>
    <x v="11"/>
    <n v="-6292"/>
    <n v="19998"/>
    <n v="54425"/>
    <x v="34"/>
  </r>
  <r>
    <n v="17947"/>
    <n v="1947"/>
    <n v="1679"/>
    <x v="1"/>
    <n v="14066"/>
    <n v="44573"/>
    <n v="462286"/>
    <x v="35"/>
  </r>
  <r>
    <n v="167512"/>
    <n v="16280"/>
    <n v="13856"/>
    <x v="2"/>
    <n v="39692"/>
    <n v="152246"/>
    <n v="1239198"/>
    <x v="35"/>
  </r>
  <r>
    <n v="146460"/>
    <n v="6412"/>
    <n v="5360"/>
    <x v="3"/>
    <n v="33016"/>
    <n v="54727"/>
    <n v="837724"/>
    <x v="35"/>
  </r>
  <r>
    <n v="883722"/>
    <n v="47491"/>
    <n v="42219"/>
    <x v="4"/>
    <n v="121693"/>
    <n v="171080"/>
    <n v="2069332"/>
    <x v="35"/>
  </r>
  <r>
    <n v="765451"/>
    <n v="38219"/>
    <n v="36246"/>
    <x v="5"/>
    <n v="55929"/>
    <n v="80952"/>
    <n v="1268589"/>
    <x v="35"/>
  </r>
  <r>
    <n v="1459169"/>
    <n v="87313"/>
    <n v="76576"/>
    <x v="6"/>
    <n v="64872"/>
    <n v="117868"/>
    <n v="1675407"/>
    <x v="35"/>
  </r>
  <r>
    <n v="755230"/>
    <n v="37982"/>
    <n v="32960"/>
    <x v="7"/>
    <n v="19224"/>
    <n v="35357"/>
    <n v="484230"/>
    <x v="35"/>
  </r>
  <r>
    <n v="1361746"/>
    <n v="119820"/>
    <n v="73241"/>
    <x v="8"/>
    <n v="-621"/>
    <n v="68445"/>
    <n v="624387"/>
    <x v="35"/>
  </r>
  <r>
    <n v="557519"/>
    <n v="49975"/>
    <n v="17370"/>
    <x v="9"/>
    <n v="-11891"/>
    <n v="18373"/>
    <n v="160339"/>
    <x v="35"/>
  </r>
  <r>
    <n v="1060733"/>
    <n v="137094"/>
    <n v="37379"/>
    <x v="10"/>
    <n v="-17589"/>
    <n v="46217"/>
    <n v="219163"/>
    <x v="35"/>
  </r>
  <r>
    <n v="588630"/>
    <n v="80862"/>
    <n v="13163"/>
    <x v="11"/>
    <n v="-6245"/>
    <n v="20045"/>
    <n v="54699"/>
    <x v="35"/>
  </r>
  <r>
    <n v="18018"/>
    <n v="1956"/>
    <n v="1688"/>
    <x v="1"/>
    <n v="14356"/>
    <n v="44863"/>
    <n v="464856"/>
    <x v="36"/>
  </r>
  <r>
    <n v="168433"/>
    <n v="16366"/>
    <n v="13942"/>
    <x v="2"/>
    <n v="40407"/>
    <n v="152961"/>
    <n v="1247175"/>
    <x v="36"/>
  </r>
  <r>
    <n v="147441"/>
    <n v="6435"/>
    <n v="5383"/>
    <x v="3"/>
    <n v="33029"/>
    <n v="54740"/>
    <n v="843266"/>
    <x v="36"/>
  </r>
  <r>
    <n v="891756"/>
    <n v="47574"/>
    <n v="42302"/>
    <x v="4"/>
    <n v="121876"/>
    <n v="171263"/>
    <n v="2083775"/>
    <x v="36"/>
  </r>
  <r>
    <n v="774398"/>
    <n v="38492"/>
    <n v="36519"/>
    <x v="5"/>
    <n v="56505"/>
    <n v="81528"/>
    <n v="1278529"/>
    <x v="36"/>
  </r>
  <r>
    <n v="1482592"/>
    <n v="86645"/>
    <n v="75908"/>
    <x v="6"/>
    <n v="66153"/>
    <n v="119149"/>
    <n v="1693383"/>
    <x v="36"/>
  </r>
  <r>
    <n v="766382"/>
    <n v="37449"/>
    <n v="32427"/>
    <x v="7"/>
    <n v="19574"/>
    <n v="35707"/>
    <n v="490132"/>
    <x v="36"/>
  </r>
  <r>
    <n v="1379863"/>
    <n v="119783"/>
    <n v="73204"/>
    <x v="8"/>
    <n v="-45"/>
    <n v="69021"/>
    <n v="630690"/>
    <x v="36"/>
  </r>
  <r>
    <n v="564689"/>
    <n v="49770"/>
    <n v="17165"/>
    <x v="9"/>
    <n v="-11554"/>
    <n v="18710"/>
    <n v="161863"/>
    <x v="36"/>
  </r>
  <r>
    <n v="1073989"/>
    <n v="136577"/>
    <n v="36862"/>
    <x v="10"/>
    <n v="-17704"/>
    <n v="46102"/>
    <n v="221245"/>
    <x v="36"/>
  </r>
  <r>
    <n v="594039"/>
    <n v="81090"/>
    <n v="13391"/>
    <x v="11"/>
    <n v="-6283"/>
    <n v="20007"/>
    <n v="55068"/>
    <x v="36"/>
  </r>
  <r>
    <n v="18128"/>
    <n v="1980"/>
    <n v="1712"/>
    <x v="1"/>
    <n v="14195"/>
    <n v="44702"/>
    <n v="466846"/>
    <x v="37"/>
  </r>
  <r>
    <n v="169410"/>
    <n v="16514"/>
    <n v="14090"/>
    <x v="2"/>
    <n v="41439"/>
    <n v="153993"/>
    <n v="1254540"/>
    <x v="37"/>
  </r>
  <r>
    <n v="148508"/>
    <n v="6468"/>
    <n v="5416"/>
    <x v="3"/>
    <n v="33155"/>
    <n v="54866"/>
    <n v="847685"/>
    <x v="37"/>
  </r>
  <r>
    <n v="896717"/>
    <n v="47366"/>
    <n v="42094"/>
    <x v="4"/>
    <n v="122215"/>
    <n v="171602"/>
    <n v="2092739"/>
    <x v="37"/>
  </r>
  <r>
    <n v="781102"/>
    <n v="38513"/>
    <n v="36540"/>
    <x v="5"/>
    <n v="56108"/>
    <n v="81131"/>
    <n v="1286250"/>
    <x v="37"/>
  </r>
  <r>
    <n v="1499414"/>
    <n v="88149"/>
    <n v="77412"/>
    <x v="6"/>
    <n v="67555"/>
    <n v="120551"/>
    <n v="1710619"/>
    <x v="37"/>
  </r>
  <r>
    <n v="774780"/>
    <n v="37685"/>
    <n v="32663"/>
    <x v="7"/>
    <n v="19452"/>
    <n v="35585"/>
    <n v="495113"/>
    <x v="37"/>
  </r>
  <r>
    <n v="1391805"/>
    <n v="120197"/>
    <n v="73618"/>
    <x v="8"/>
    <n v="71"/>
    <n v="69137"/>
    <n v="636064"/>
    <x v="37"/>
  </r>
  <r>
    <n v="569737"/>
    <n v="50008"/>
    <n v="17403"/>
    <x v="9"/>
    <n v="-11639"/>
    <n v="18625"/>
    <n v="163008"/>
    <x v="37"/>
  </r>
  <r>
    <n v="1082539"/>
    <n v="136313"/>
    <n v="36598"/>
    <x v="10"/>
    <n v="-17476"/>
    <n v="46330"/>
    <n v="222530"/>
    <x v="37"/>
  </r>
  <r>
    <n v="599055"/>
    <n v="81484"/>
    <n v="13785"/>
    <x v="11"/>
    <n v="-6259"/>
    <n v="20031"/>
    <n v="55214"/>
    <x v="37"/>
  </r>
  <r>
    <n v="18541"/>
    <n v="1882"/>
    <n v="1614"/>
    <x v="1"/>
    <n v="14387"/>
    <n v="44894"/>
    <n v="470244"/>
    <x v="38"/>
  </r>
  <r>
    <n v="170746"/>
    <n v="16324"/>
    <n v="13900"/>
    <x v="2"/>
    <n v="41336"/>
    <n v="153890"/>
    <n v="1266201"/>
    <x v="38"/>
  </r>
  <r>
    <n v="149911"/>
    <n v="6267"/>
    <n v="5215"/>
    <x v="3"/>
    <n v="32798"/>
    <n v="54509"/>
    <n v="853550"/>
    <x v="38"/>
  </r>
  <r>
    <n v="905855"/>
    <n v="46341"/>
    <n v="41069"/>
    <x v="4"/>
    <n v="121337"/>
    <n v="170724"/>
    <n v="2110543"/>
    <x v="38"/>
  </r>
  <r>
    <n v="791482"/>
    <n v="37895"/>
    <n v="35922"/>
    <x v="5"/>
    <n v="55831"/>
    <n v="80854"/>
    <n v="1300931"/>
    <x v="38"/>
  </r>
  <r>
    <n v="1523088"/>
    <n v="86949"/>
    <n v="76212"/>
    <x v="6"/>
    <n v="67102"/>
    <n v="120098"/>
    <n v="1741438"/>
    <x v="38"/>
  </r>
  <r>
    <n v="788651"/>
    <n v="37789"/>
    <n v="32767"/>
    <x v="7"/>
    <n v="18900"/>
    <n v="35033"/>
    <n v="503872"/>
    <x v="38"/>
  </r>
  <r>
    <n v="1409450"/>
    <n v="119486"/>
    <n v="72907"/>
    <x v="8"/>
    <n v="-560"/>
    <n v="68506"/>
    <n v="645632"/>
    <x v="38"/>
  </r>
  <r>
    <n v="577867"/>
    <n v="49593"/>
    <n v="16988"/>
    <x v="9"/>
    <n v="-11821"/>
    <n v="18443"/>
    <n v="164942"/>
    <x v="38"/>
  </r>
  <r>
    <n v="1098373"/>
    <n v="135818"/>
    <n v="36103"/>
    <x v="10"/>
    <n v="-17402"/>
    <n v="46404"/>
    <n v="225328"/>
    <x v="38"/>
  </r>
  <r>
    <n v="606807"/>
    <n v="81809"/>
    <n v="14110"/>
    <x v="11"/>
    <n v="-6217"/>
    <n v="20073"/>
    <n v="55652"/>
    <x v="38"/>
  </r>
  <r>
    <n v="18650"/>
    <n v="1881"/>
    <n v="1613"/>
    <x v="1"/>
    <n v="14542"/>
    <n v="45049"/>
    <n v="472547"/>
    <x v="39"/>
  </r>
  <r>
    <n v="171319"/>
    <n v="16313"/>
    <n v="13889"/>
    <x v="2"/>
    <n v="40533"/>
    <n v="153087"/>
    <n v="1273713"/>
    <x v="39"/>
  </r>
  <r>
    <n v="150589"/>
    <n v="6236"/>
    <n v="5184"/>
    <x v="3"/>
    <n v="32689"/>
    <n v="54400"/>
    <n v="857121"/>
    <x v="39"/>
  </r>
  <r>
    <n v="910092"/>
    <n v="46123"/>
    <n v="40851"/>
    <x v="4"/>
    <n v="121863"/>
    <n v="171250"/>
    <n v="2121176"/>
    <x v="39"/>
  </r>
  <r>
    <n v="796076"/>
    <n v="37995"/>
    <n v="36022"/>
    <x v="5"/>
    <n v="55277"/>
    <n v="80300"/>
    <n v="1311257"/>
    <x v="39"/>
  </r>
  <r>
    <n v="1533322"/>
    <n v="87057"/>
    <n v="76320"/>
    <x v="6"/>
    <n v="67261"/>
    <n v="120257"/>
    <n v="1757529"/>
    <x v="39"/>
  </r>
  <r>
    <n v="794277"/>
    <n v="38422"/>
    <n v="33400"/>
    <x v="7"/>
    <n v="18730"/>
    <n v="34863"/>
    <n v="508624"/>
    <x v="39"/>
  </r>
  <r>
    <n v="1418945"/>
    <n v="120117"/>
    <n v="73538"/>
    <x v="8"/>
    <n v="-858"/>
    <n v="68208"/>
    <n v="650360"/>
    <x v="39"/>
  </r>
  <r>
    <n v="583242"/>
    <n v="49771"/>
    <n v="17166"/>
    <x v="9"/>
    <n v="-12040"/>
    <n v="18224"/>
    <n v="166326"/>
    <x v="39"/>
  </r>
  <r>
    <n v="1104210"/>
    <n v="136114"/>
    <n v="36399"/>
    <x v="10"/>
    <n v="-17420"/>
    <n v="46386"/>
    <n v="226914"/>
    <x v="39"/>
  </r>
  <r>
    <n v="609731"/>
    <n v="81610"/>
    <n v="13911"/>
    <x v="11"/>
    <n v="-6251"/>
    <n v="20039"/>
    <n v="55960"/>
    <x v="39"/>
  </r>
  <r>
    <n v="18817"/>
    <n v="1814"/>
    <n v="1546"/>
    <x v="1"/>
    <n v="14258"/>
    <n v="44765"/>
    <n v="477376"/>
    <x v="40"/>
  </r>
  <r>
    <n v="173108"/>
    <n v="16245"/>
    <n v="13821"/>
    <x v="2"/>
    <n v="40144"/>
    <n v="152698"/>
    <n v="1283091"/>
    <x v="40"/>
  </r>
  <r>
    <n v="151427"/>
    <n v="6235"/>
    <n v="5183"/>
    <x v="3"/>
    <n v="32256"/>
    <n v="53967"/>
    <n v="863997"/>
    <x v="40"/>
  </r>
  <r>
    <n v="917285"/>
    <n v="46488"/>
    <n v="41216"/>
    <x v="4"/>
    <n v="120831"/>
    <n v="170218"/>
    <n v="2139548"/>
    <x v="40"/>
  </r>
  <r>
    <n v="803945"/>
    <n v="37565"/>
    <n v="35592"/>
    <x v="5"/>
    <n v="55611"/>
    <n v="80634"/>
    <n v="1328055"/>
    <x v="40"/>
  </r>
  <r>
    <n v="1553984"/>
    <n v="86462"/>
    <n v="75725"/>
    <x v="6"/>
    <n v="65476"/>
    <n v="118472"/>
    <n v="1786015"/>
    <x v="40"/>
  </r>
  <r>
    <n v="803181"/>
    <n v="38664"/>
    <n v="33642"/>
    <x v="7"/>
    <n v="18167"/>
    <n v="34300"/>
    <n v="516596"/>
    <x v="40"/>
  </r>
  <r>
    <n v="1433681"/>
    <n v="120047"/>
    <n v="73468"/>
    <x v="8"/>
    <n v="-704"/>
    <n v="68362"/>
    <n v="658283"/>
    <x v="40"/>
  </r>
  <r>
    <n v="590519"/>
    <n v="50501"/>
    <n v="17896"/>
    <x v="9"/>
    <n v="-12307"/>
    <n v="17957"/>
    <n v="168232"/>
    <x v="40"/>
  </r>
  <r>
    <n v="1115389"/>
    <n v="136571"/>
    <n v="36856"/>
    <x v="10"/>
    <n v="-17277"/>
    <n v="46529"/>
    <n v="228979"/>
    <x v="40"/>
  </r>
  <r>
    <n v="617615"/>
    <n v="82134"/>
    <n v="14435"/>
    <x v="11"/>
    <n v="-6296"/>
    <n v="19994"/>
    <n v="56395"/>
    <x v="40"/>
  </r>
  <r>
    <n v="18898"/>
    <n v="1772"/>
    <n v="1504"/>
    <x v="1"/>
    <n v="13923"/>
    <n v="44430"/>
    <n v="481645"/>
    <x v="41"/>
  </r>
  <r>
    <n v="174922"/>
    <n v="16407"/>
    <n v="13983"/>
    <x v="2"/>
    <n v="39652"/>
    <n v="152206"/>
    <n v="1295100"/>
    <x v="41"/>
  </r>
  <r>
    <n v="152744"/>
    <n v="6241"/>
    <n v="5189"/>
    <x v="3"/>
    <n v="32090"/>
    <n v="53801"/>
    <n v="871974"/>
    <x v="41"/>
  </r>
  <r>
    <n v="925649"/>
    <n v="46259"/>
    <n v="40987"/>
    <x v="4"/>
    <n v="118140"/>
    <n v="167527"/>
    <n v="2162145"/>
    <x v="41"/>
  </r>
  <r>
    <n v="814296"/>
    <n v="37470"/>
    <n v="35497"/>
    <x v="5"/>
    <n v="53354"/>
    <n v="78377"/>
    <n v="1350304"/>
    <x v="41"/>
  </r>
  <r>
    <n v="1576911"/>
    <n v="88310"/>
    <n v="77573"/>
    <x v="6"/>
    <n v="62673"/>
    <n v="115669"/>
    <n v="1821036"/>
    <x v="41"/>
  </r>
  <r>
    <n v="814222"/>
    <n v="39249"/>
    <n v="34227"/>
    <x v="7"/>
    <n v="17196"/>
    <n v="33329"/>
    <n v="527013"/>
    <x v="41"/>
  </r>
  <r>
    <n v="1449967"/>
    <n v="121210"/>
    <n v="74631"/>
    <x v="8"/>
    <n v="-1980"/>
    <n v="67086"/>
    <n v="668801"/>
    <x v="41"/>
  </r>
  <r>
    <n v="597618"/>
    <n v="50793"/>
    <n v="18188"/>
    <x v="9"/>
    <n v="-12577"/>
    <n v="17687"/>
    <n v="170067"/>
    <x v="41"/>
  </r>
  <r>
    <n v="1126525"/>
    <n v="137071"/>
    <n v="37356"/>
    <x v="10"/>
    <n v="-17405"/>
    <n v="46401"/>
    <n v="232592"/>
    <x v="41"/>
  </r>
  <r>
    <n v="624013"/>
    <n v="82586"/>
    <n v="14887"/>
    <x v="11"/>
    <n v="-6286"/>
    <n v="20004"/>
    <n v="56826"/>
    <x v="41"/>
  </r>
  <r>
    <n v="19090"/>
    <n v="1716"/>
    <n v="1448"/>
    <x v="1"/>
    <n v="13488"/>
    <n v="43995"/>
    <n v="487983"/>
    <x v="42"/>
  </r>
  <r>
    <n v="177463"/>
    <n v="16323"/>
    <n v="13899"/>
    <x v="2"/>
    <n v="39226"/>
    <n v="151780"/>
    <n v="1309043"/>
    <x v="42"/>
  </r>
  <r>
    <n v="154337"/>
    <n v="6327"/>
    <n v="5275"/>
    <x v="3"/>
    <n v="31997"/>
    <n v="53708"/>
    <n v="882743"/>
    <x v="42"/>
  </r>
  <r>
    <n v="935086"/>
    <n v="46374"/>
    <n v="41102"/>
    <x v="4"/>
    <n v="116184"/>
    <n v="165571"/>
    <n v="2189979"/>
    <x v="42"/>
  </r>
  <r>
    <n v="826006"/>
    <n v="38207"/>
    <n v="36234"/>
    <x v="5"/>
    <n v="50921"/>
    <n v="75944"/>
    <n v="1373960"/>
    <x v="42"/>
  </r>
  <r>
    <n v="1602202"/>
    <n v="88641"/>
    <n v="77904"/>
    <x v="6"/>
    <n v="58730"/>
    <n v="111726"/>
    <n v="1859963"/>
    <x v="42"/>
  </r>
  <r>
    <n v="825423"/>
    <n v="39313"/>
    <n v="34291"/>
    <x v="7"/>
    <n v="16077"/>
    <n v="32210"/>
    <n v="538003"/>
    <x v="42"/>
  </r>
  <r>
    <n v="1472250"/>
    <n v="122701"/>
    <n v="76122"/>
    <x v="8"/>
    <n v="-3498"/>
    <n v="65568"/>
    <n v="680322"/>
    <x v="42"/>
  </r>
  <r>
    <n v="610076"/>
    <n v="50683"/>
    <n v="18078"/>
    <x v="9"/>
    <n v="-12901"/>
    <n v="17363"/>
    <n v="172903"/>
    <x v="42"/>
  </r>
  <r>
    <n v="1143995"/>
    <n v="137913"/>
    <n v="38198"/>
    <x v="10"/>
    <n v="-17491"/>
    <n v="46315"/>
    <n v="235592"/>
    <x v="42"/>
  </r>
  <r>
    <n v="632637"/>
    <n v="82863"/>
    <n v="15164"/>
    <x v="11"/>
    <n v="-6284"/>
    <n v="20006"/>
    <n v="57503"/>
    <x v="42"/>
  </r>
  <r>
    <n v="26856"/>
    <n v="3187"/>
    <n v="2408"/>
    <x v="0"/>
    <n v="29196"/>
    <n v="75584"/>
    <n v="751754"/>
    <x v="43"/>
  </r>
  <r>
    <n v="19228"/>
    <n v="1678"/>
    <n v="1410"/>
    <x v="1"/>
    <n v="13269"/>
    <n v="43776"/>
    <n v="491352"/>
    <x v="43"/>
  </r>
  <r>
    <n v="178388"/>
    <n v="16361"/>
    <n v="13937"/>
    <x v="2"/>
    <n v="39302"/>
    <n v="151856"/>
    <n v="1318688"/>
    <x v="43"/>
  </r>
  <r>
    <n v="155035"/>
    <n v="6300"/>
    <n v="5248"/>
    <x v="3"/>
    <n v="31674"/>
    <n v="53385"/>
    <n v="888284"/>
    <x v="43"/>
  </r>
  <r>
    <n v="941166"/>
    <n v="47475"/>
    <n v="42203"/>
    <x v="4"/>
    <n v="115670"/>
    <n v="165057"/>
    <n v="2205687"/>
    <x v="43"/>
  </r>
  <r>
    <n v="831441"/>
    <n v="39355"/>
    <n v="37382"/>
    <x v="5"/>
    <n v="50918"/>
    <n v="75941"/>
    <n v="1386449"/>
    <x v="43"/>
  </r>
  <r>
    <n v="1615155"/>
    <n v="91526"/>
    <n v="80789"/>
    <x v="6"/>
    <n v="57243"/>
    <n v="110239"/>
    <n v="1879140"/>
    <x v="43"/>
  </r>
  <r>
    <n v="831937"/>
    <n v="39603"/>
    <n v="34581"/>
    <x v="7"/>
    <n v="15934"/>
    <n v="32067"/>
    <n v="544422"/>
    <x v="43"/>
  </r>
  <r>
    <n v="1483212"/>
    <n v="124289"/>
    <n v="77710"/>
    <x v="8"/>
    <n v="-3694"/>
    <n v="65372"/>
    <n v="685319"/>
    <x v="43"/>
  </r>
  <r>
    <n v="615975"/>
    <n v="53205"/>
    <n v="20600"/>
    <x v="9"/>
    <n v="-13138"/>
    <n v="17126"/>
    <n v="174026"/>
    <x v="43"/>
  </r>
  <r>
    <n v="1151653"/>
    <n v="138497"/>
    <n v="38782"/>
    <x v="10"/>
    <n v="-17787"/>
    <n v="46019"/>
    <n v="237041"/>
    <x v="43"/>
  </r>
  <r>
    <n v="26856"/>
    <n v="3187"/>
    <n v="2408"/>
    <x v="0"/>
    <n v="29196"/>
    <n v="75584"/>
    <n v="751754"/>
    <x v="44"/>
  </r>
  <r>
    <n v="19228"/>
    <n v="1678"/>
    <n v="1410"/>
    <x v="1"/>
    <n v="13269"/>
    <n v="43776"/>
    <n v="491352"/>
    <x v="44"/>
  </r>
  <r>
    <n v="178388"/>
    <n v="16361"/>
    <n v="13937"/>
    <x v="2"/>
    <n v="39302"/>
    <n v="151856"/>
    <n v="1318688"/>
    <x v="44"/>
  </r>
  <r>
    <n v="155035"/>
    <n v="6300"/>
    <n v="5248"/>
    <x v="3"/>
    <n v="31674"/>
    <n v="53385"/>
    <n v="888284"/>
    <x v="44"/>
  </r>
  <r>
    <n v="941166"/>
    <n v="47475"/>
    <n v="42203"/>
    <x v="4"/>
    <n v="115670"/>
    <n v="165057"/>
    <n v="2205687"/>
    <x v="44"/>
  </r>
  <r>
    <n v="831441"/>
    <n v="39355"/>
    <n v="37382"/>
    <x v="5"/>
    <n v="50918"/>
    <n v="75941"/>
    <n v="1386449"/>
    <x v="44"/>
  </r>
  <r>
    <n v="1615155"/>
    <n v="91526"/>
    <n v="80789"/>
    <x v="6"/>
    <n v="57243"/>
    <n v="110239"/>
    <n v="1879140"/>
    <x v="44"/>
  </r>
  <r>
    <n v="831937"/>
    <n v="39603"/>
    <n v="34581"/>
    <x v="7"/>
    <n v="15934"/>
    <n v="32067"/>
    <n v="544422"/>
    <x v="44"/>
  </r>
  <r>
    <n v="1483212"/>
    <n v="124289"/>
    <n v="77710"/>
    <x v="8"/>
    <n v="-3694"/>
    <n v="65372"/>
    <n v="685319"/>
    <x v="44"/>
  </r>
  <r>
    <n v="615975"/>
    <n v="53205"/>
    <n v="20600"/>
    <x v="9"/>
    <n v="-13138"/>
    <n v="17126"/>
    <n v="174026"/>
    <x v="44"/>
  </r>
  <r>
    <n v="1151653"/>
    <n v="138497"/>
    <n v="38782"/>
    <x v="10"/>
    <n v="-17787"/>
    <n v="46019"/>
    <n v="237041"/>
    <x v="44"/>
  </r>
  <r>
    <n v="27122"/>
    <n v="3148"/>
    <n v="2369"/>
    <x v="0"/>
    <n v="28701"/>
    <n v="75089"/>
    <n v="758647"/>
    <x v="45"/>
  </r>
  <r>
    <n v="19323"/>
    <n v="1641"/>
    <n v="1373"/>
    <x v="1"/>
    <n v="13340"/>
    <n v="43847"/>
    <n v="495129"/>
    <x v="45"/>
  </r>
  <r>
    <n v="179933"/>
    <n v="16345"/>
    <n v="13921"/>
    <x v="2"/>
    <n v="38628"/>
    <n v="151182"/>
    <n v="1328761"/>
    <x v="45"/>
  </r>
  <r>
    <n v="156171"/>
    <n v="6225"/>
    <n v="5173"/>
    <x v="3"/>
    <n v="31622"/>
    <n v="53333"/>
    <n v="895237"/>
    <x v="45"/>
  </r>
  <r>
    <n v="949175"/>
    <n v="47659"/>
    <n v="42387"/>
    <x v="4"/>
    <n v="115169"/>
    <n v="164556"/>
    <n v="2225838"/>
    <x v="45"/>
  </r>
  <r>
    <n v="840138"/>
    <n v="40393"/>
    <n v="38420"/>
    <x v="5"/>
    <n v="50415"/>
    <n v="75438"/>
    <n v="1401128"/>
    <x v="45"/>
  </r>
  <r>
    <n v="1636494"/>
    <n v="92394"/>
    <n v="81657"/>
    <x v="6"/>
    <n v="54859"/>
    <n v="107855"/>
    <n v="1904265"/>
    <x v="45"/>
  </r>
  <r>
    <n v="840014"/>
    <n v="39982"/>
    <n v="34960"/>
    <x v="7"/>
    <n v="15814"/>
    <n v="31947"/>
    <n v="551564"/>
    <x v="45"/>
  </r>
  <r>
    <n v="1499173"/>
    <n v="125205"/>
    <n v="78626"/>
    <x v="8"/>
    <n v="-4283"/>
    <n v="64783"/>
    <n v="692177"/>
    <x v="45"/>
  </r>
  <r>
    <n v="624006"/>
    <n v="54011"/>
    <n v="21406"/>
    <x v="9"/>
    <n v="-13300"/>
    <n v="16964"/>
    <n v="175548"/>
    <x v="45"/>
  </r>
  <r>
    <n v="1160882"/>
    <n v="139021"/>
    <n v="39306"/>
    <x v="10"/>
    <n v="-17380"/>
    <n v="46426"/>
    <n v="238876"/>
    <x v="45"/>
  </r>
  <r>
    <n v="27515"/>
    <n v="3035"/>
    <n v="2256"/>
    <x v="0"/>
    <n v="28249"/>
    <n v="74637"/>
    <n v="768284"/>
    <x v="46"/>
  </r>
  <r>
    <n v="19462"/>
    <n v="1643"/>
    <n v="1375"/>
    <x v="1"/>
    <n v="13282"/>
    <n v="43789"/>
    <n v="500984"/>
    <x v="46"/>
  </r>
  <r>
    <n v="182149"/>
    <n v="16494"/>
    <n v="14070"/>
    <x v="2"/>
    <n v="37651"/>
    <n v="150205"/>
    <n v="1341938"/>
    <x v="46"/>
  </r>
  <r>
    <n v="157758"/>
    <n v="6225"/>
    <n v="5173"/>
    <x v="3"/>
    <n v="30951"/>
    <n v="52662"/>
    <n v="904865"/>
    <x v="46"/>
  </r>
  <r>
    <n v="958167"/>
    <n v="47772"/>
    <n v="42500"/>
    <x v="4"/>
    <n v="115155"/>
    <n v="164542"/>
    <n v="2254699"/>
    <x v="46"/>
  </r>
  <r>
    <n v="850715"/>
    <n v="41151"/>
    <n v="39178"/>
    <x v="5"/>
    <n v="49634"/>
    <n v="74657"/>
    <n v="1426591"/>
    <x v="46"/>
  </r>
  <r>
    <n v="1659205"/>
    <n v="93369"/>
    <n v="82632"/>
    <x v="6"/>
    <n v="55636"/>
    <n v="108632"/>
    <n v="1937172"/>
    <x v="46"/>
  </r>
  <r>
    <n v="851153"/>
    <n v="40598"/>
    <n v="35576"/>
    <x v="7"/>
    <n v="15253"/>
    <n v="31386"/>
    <n v="560796"/>
    <x v="46"/>
  </r>
  <r>
    <n v="1520076"/>
    <n v="127876"/>
    <n v="81297"/>
    <x v="8"/>
    <n v="-3997"/>
    <n v="65069"/>
    <n v="701370"/>
    <x v="46"/>
  </r>
  <r>
    <n v="634338"/>
    <n v="54308"/>
    <n v="21703"/>
    <x v="9"/>
    <n v="-13410"/>
    <n v="16854"/>
    <n v="177407"/>
    <x v="46"/>
  </r>
  <r>
    <n v="1177432"/>
    <n v="140243"/>
    <n v="40528"/>
    <x v="10"/>
    <n v="-18208"/>
    <n v="45598"/>
    <n v="241513"/>
    <x v="46"/>
  </r>
  <r>
    <n v="28243"/>
    <n v="2762"/>
    <n v="1983"/>
    <x v="0"/>
    <n v="28355"/>
    <n v="74743"/>
    <n v="776096"/>
    <x v="47"/>
  </r>
  <r>
    <n v="19628"/>
    <n v="1604"/>
    <n v="1336"/>
    <x v="1"/>
    <n v="12470"/>
    <n v="42977"/>
    <n v="508611"/>
    <x v="47"/>
  </r>
  <r>
    <n v="183768"/>
    <n v="16692"/>
    <n v="14268"/>
    <x v="2"/>
    <n v="36503"/>
    <n v="149057"/>
    <n v="1357235"/>
    <x v="47"/>
  </r>
  <r>
    <n v="159716"/>
    <n v="6150"/>
    <n v="5098"/>
    <x v="3"/>
    <n v="31028"/>
    <n v="52739"/>
    <n v="914594"/>
    <x v="47"/>
  </r>
  <r>
    <n v="967816"/>
    <n v="47841"/>
    <n v="42569"/>
    <x v="4"/>
    <n v="113894"/>
    <n v="163281"/>
    <n v="2284310"/>
    <x v="47"/>
  </r>
  <r>
    <n v="861566"/>
    <n v="41783"/>
    <n v="39810"/>
    <x v="5"/>
    <n v="50008"/>
    <n v="75031"/>
    <n v="1452632"/>
    <x v="47"/>
  </r>
  <r>
    <n v="1683349"/>
    <n v="93489"/>
    <n v="82752"/>
    <x v="6"/>
    <n v="55783"/>
    <n v="108779"/>
    <n v="1972297"/>
    <x v="47"/>
  </r>
  <r>
    <n v="861846"/>
    <n v="40583"/>
    <n v="35561"/>
    <x v="7"/>
    <n v="14080"/>
    <n v="30213"/>
    <n v="570265"/>
    <x v="47"/>
  </r>
  <r>
    <n v="1539258"/>
    <n v="131075"/>
    <n v="84496"/>
    <x v="8"/>
    <n v="-5240"/>
    <n v="63826"/>
    <n v="711679"/>
    <x v="47"/>
  </r>
  <r>
    <n v="648104"/>
    <n v="53450"/>
    <n v="20845"/>
    <x v="9"/>
    <n v="-13316"/>
    <n v="16948"/>
    <n v="179399"/>
    <x v="47"/>
  </r>
  <r>
    <n v="1193888"/>
    <n v="141849"/>
    <n v="42134"/>
    <x v="10"/>
    <n v="-18671"/>
    <n v="45135"/>
    <n v="244442"/>
    <x v="47"/>
  </r>
  <r>
    <n v="28541"/>
    <n v="2709"/>
    <n v="1930"/>
    <x v="0"/>
    <n v="28437"/>
    <n v="74825"/>
    <n v="787205"/>
    <x v="48"/>
  </r>
  <r>
    <n v="19732"/>
    <n v="1603"/>
    <n v="1335"/>
    <x v="1"/>
    <n v="12439"/>
    <n v="42946"/>
    <n v="515503"/>
    <x v="48"/>
  </r>
  <r>
    <n v="186508"/>
    <n v="16717"/>
    <n v="14293"/>
    <x v="2"/>
    <n v="36180"/>
    <n v="148734"/>
    <n v="1375801"/>
    <x v="48"/>
  </r>
  <r>
    <n v="161745"/>
    <n v="6146"/>
    <n v="5094"/>
    <x v="3"/>
    <n v="30997"/>
    <n v="52708"/>
    <n v="929326"/>
    <x v="48"/>
  </r>
  <r>
    <n v="977806"/>
    <n v="48854"/>
    <n v="43582"/>
    <x v="4"/>
    <n v="112767"/>
    <n v="162154"/>
    <n v="2322534"/>
    <x v="48"/>
  </r>
  <r>
    <n v="873951"/>
    <n v="42439"/>
    <n v="40466"/>
    <x v="5"/>
    <n v="49971"/>
    <n v="74994"/>
    <n v="1487685"/>
    <x v="48"/>
  </r>
  <r>
    <n v="1712251"/>
    <n v="95074"/>
    <n v="84337"/>
    <x v="6"/>
    <n v="55124"/>
    <n v="108120"/>
    <n v="2017105"/>
    <x v="48"/>
  </r>
  <r>
    <n v="876565"/>
    <n v="41451"/>
    <n v="36429"/>
    <x v="7"/>
    <n v="13715"/>
    <n v="29848"/>
    <n v="580752"/>
    <x v="48"/>
  </r>
  <r>
    <n v="1564702"/>
    <n v="128782"/>
    <n v="82203"/>
    <x v="8"/>
    <n v="-5974"/>
    <n v="63092"/>
    <n v="723662"/>
    <x v="48"/>
  </r>
  <r>
    <n v="660135"/>
    <n v="56366"/>
    <n v="23761"/>
    <x v="9"/>
    <n v="-13385"/>
    <n v="16879"/>
    <n v="182032"/>
    <x v="48"/>
  </r>
  <r>
    <n v="1207445"/>
    <n v="142417"/>
    <n v="42702"/>
    <x v="10"/>
    <n v="-18777"/>
    <n v="45029"/>
    <n v="247464"/>
    <x v="48"/>
  </r>
  <r>
    <n v="29115"/>
    <n v="2673"/>
    <n v="1894"/>
    <x v="0"/>
    <n v="28730"/>
    <n v="75118"/>
    <n v="804842"/>
    <x v="49"/>
  </r>
  <r>
    <n v="20001"/>
    <n v="1541"/>
    <n v="1273"/>
    <x v="1"/>
    <n v="12329"/>
    <n v="42836"/>
    <n v="528066"/>
    <x v="49"/>
  </r>
  <r>
    <n v="189628"/>
    <n v="16822"/>
    <n v="14398"/>
    <x v="2"/>
    <n v="36053"/>
    <n v="148607"/>
    <n v="1409543"/>
    <x v="49"/>
  </r>
  <r>
    <n v="164893"/>
    <n v="6440"/>
    <n v="5388"/>
    <x v="3"/>
    <n v="29153"/>
    <n v="50864"/>
    <n v="961760"/>
    <x v="49"/>
  </r>
  <r>
    <n v="993219"/>
    <n v="49982"/>
    <n v="44710"/>
    <x v="4"/>
    <n v="108726"/>
    <n v="158113"/>
    <n v="2377145"/>
    <x v="49"/>
  </r>
  <r>
    <n v="891096"/>
    <n v="44335"/>
    <n v="42362"/>
    <x v="5"/>
    <n v="49593"/>
    <n v="74616"/>
    <n v="1536965"/>
    <x v="49"/>
  </r>
  <r>
    <n v="1745147"/>
    <n v="98259"/>
    <n v="87522"/>
    <x v="6"/>
    <n v="54173"/>
    <n v="107169"/>
    <n v="2077913"/>
    <x v="49"/>
  </r>
  <r>
    <n v="894652"/>
    <n v="46227"/>
    <n v="41205"/>
    <x v="7"/>
    <n v="12291"/>
    <n v="28424"/>
    <n v="597599"/>
    <x v="49"/>
  </r>
  <r>
    <n v="1604358"/>
    <n v="130998"/>
    <n v="84419"/>
    <x v="8"/>
    <n v="-7016"/>
    <n v="62050"/>
    <n v="739538"/>
    <x v="49"/>
  </r>
  <r>
    <n v="674613"/>
    <n v="58335"/>
    <n v="25730"/>
    <x v="9"/>
    <n v="-13488"/>
    <n v="16776"/>
    <n v="185336"/>
    <x v="49"/>
  </r>
  <r>
    <n v="1226052"/>
    <n v="143145"/>
    <n v="43430"/>
    <x v="10"/>
    <n v="-19292"/>
    <n v="44514"/>
    <n v="252288"/>
    <x v="49"/>
  </r>
  <r>
    <n v="29950"/>
    <n v="2751"/>
    <n v="1972"/>
    <x v="0"/>
    <n v="24062"/>
    <n v="70450"/>
    <n v="828581"/>
    <x v="50"/>
  </r>
  <r>
    <n v="20243"/>
    <n v="1483"/>
    <n v="1215"/>
    <x v="1"/>
    <n v="9702"/>
    <n v="40209"/>
    <n v="543755"/>
    <x v="50"/>
  </r>
  <r>
    <n v="193361"/>
    <n v="16975"/>
    <n v="14551"/>
    <x v="2"/>
    <n v="28654"/>
    <n v="141208"/>
    <n v="1447928"/>
    <x v="50"/>
  </r>
  <r>
    <n v="170847"/>
    <n v="8244"/>
    <n v="7192"/>
    <x v="3"/>
    <n v="26187"/>
    <n v="47898"/>
    <n v="990823"/>
    <x v="50"/>
  </r>
  <r>
    <n v="1013150"/>
    <n v="53024"/>
    <n v="47752"/>
    <x v="4"/>
    <n v="101695"/>
    <n v="151082"/>
    <n v="2455610"/>
    <x v="50"/>
  </r>
  <r>
    <n v="914457"/>
    <n v="47465"/>
    <n v="45492"/>
    <x v="5"/>
    <n v="44250"/>
    <n v="69273"/>
    <n v="1591930"/>
    <x v="50"/>
  </r>
  <r>
    <n v="1785149"/>
    <n v="98875"/>
    <n v="88138"/>
    <x v="6"/>
    <n v="44888"/>
    <n v="97884"/>
    <n v="2139172"/>
    <x v="50"/>
  </r>
  <r>
    <n v="913768"/>
    <n v="46356"/>
    <n v="41334"/>
    <x v="7"/>
    <n v="9262"/>
    <n v="25395"/>
    <n v="612748"/>
    <x v="50"/>
  </r>
  <r>
    <n v="1645787"/>
    <n v="135194"/>
    <n v="88615"/>
    <x v="8"/>
    <n v="-9512"/>
    <n v="59554"/>
    <n v="756167"/>
    <x v="50"/>
  </r>
  <r>
    <n v="692383"/>
    <n v="61257"/>
    <n v="28652"/>
    <x v="9"/>
    <n v="-13915"/>
    <n v="16349"/>
    <n v="188726"/>
    <x v="50"/>
  </r>
  <r>
    <n v="1262642"/>
    <n v="145378"/>
    <n v="45663"/>
    <x v="10"/>
    <n v="-21059"/>
    <n v="42747"/>
    <n v="256704"/>
    <x v="50"/>
  </r>
  <r>
    <n v="30650"/>
    <n v="2903"/>
    <n v="2124"/>
    <x v="0"/>
    <n v="23611"/>
    <n v="69999"/>
    <n v="842005"/>
    <x v="51"/>
  </r>
  <r>
    <n v="20491"/>
    <n v="1426"/>
    <n v="1158"/>
    <x v="1"/>
    <n v="9360"/>
    <n v="39867"/>
    <n v="555101"/>
    <x v="51"/>
  </r>
  <r>
    <n v="196850"/>
    <n v="17468"/>
    <n v="15044"/>
    <x v="2"/>
    <n v="27612"/>
    <n v="140166"/>
    <n v="1473318"/>
    <x v="51"/>
  </r>
  <r>
    <n v="174913"/>
    <n v="9041"/>
    <n v="7989"/>
    <x v="3"/>
    <n v="25813"/>
    <n v="47524"/>
    <n v="1006636"/>
    <x v="51"/>
  </r>
  <r>
    <n v="1032060"/>
    <n v="55425"/>
    <n v="50153"/>
    <x v="4"/>
    <n v="100768"/>
    <n v="150155"/>
    <n v="2506616"/>
    <x v="51"/>
  </r>
  <r>
    <n v="932723"/>
    <n v="50489"/>
    <n v="48516"/>
    <x v="5"/>
    <n v="41313"/>
    <n v="66336"/>
    <n v="1624950"/>
    <x v="51"/>
  </r>
  <r>
    <n v="1814091"/>
    <n v="99100"/>
    <n v="88363"/>
    <x v="6"/>
    <n v="39603"/>
    <n v="92599"/>
    <n v="2172635"/>
    <x v="51"/>
  </r>
  <r>
    <n v="926540"/>
    <n v="46864"/>
    <n v="41842"/>
    <x v="7"/>
    <n v="8645"/>
    <n v="24778"/>
    <n v="620725"/>
    <x v="51"/>
  </r>
  <r>
    <n v="1674252"/>
    <n v="147584"/>
    <n v="101005"/>
    <x v="8"/>
    <n v="-10046"/>
    <n v="59020"/>
    <n v="767211"/>
    <x v="51"/>
  </r>
  <r>
    <n v="703022"/>
    <n v="61047"/>
    <n v="28442"/>
    <x v="9"/>
    <n v="-13870"/>
    <n v="16394"/>
    <n v="190815"/>
    <x v="51"/>
  </r>
  <r>
    <n v="1281103"/>
    <n v="140565"/>
    <n v="40850"/>
    <x v="10"/>
    <n v="-21821"/>
    <n v="41985"/>
    <n v="259150"/>
    <x v="51"/>
  </r>
  <r>
    <m/>
    <m/>
    <m/>
    <x v="12"/>
    <m/>
    <m/>
    <m/>
    <x v="5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BADF6C-AEF3-4ABF-BA01-DE49571425E9}"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150:C205" firstHeaderRow="0" firstDataRow="1" firstDataCol="1" rowPageCount="1" colPageCount="1"/>
  <pivotFields count="11">
    <pivotField showAll="0"/>
    <pivotField showAll="0"/>
    <pivotField dataField="1" showAll="0"/>
    <pivotField axis="axisPage" multipleItemSelectionAllowed="1" showAll="0">
      <items count="21">
        <item h="1" x="8"/>
        <item h="1" x="9"/>
        <item h="1" x="10"/>
        <item h="1" x="11"/>
        <item h="1" m="1" x="13"/>
        <item h="1" m="1" x="14"/>
        <item h="1" m="1" x="15"/>
        <item h="1" m="1" x="16"/>
        <item h="1" m="1" x="17"/>
        <item h="1" m="1" x="18"/>
        <item h="1" m="1" x="19"/>
        <item h="1" x="12"/>
        <item h="1" x="6"/>
        <item h="1" x="7"/>
        <item h="1" x="0"/>
        <item h="1" x="1"/>
        <item h="1" x="2"/>
        <item h="1" x="3"/>
        <item x="4"/>
        <item h="1" x="5"/>
        <item t="default"/>
      </items>
    </pivotField>
    <pivotField dataField="1" showAll="0"/>
    <pivotField showAll="0"/>
    <pivotField showAll="0"/>
    <pivotField showAll="0">
      <items count="141">
        <item x="52"/>
        <item m="1" x="138"/>
        <item m="1" x="139"/>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defaultSubtotal="0"/>
    <pivotField axis="axisRow" showAll="0" defaultSubtotal="0">
      <items count="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s>
    </pivotField>
    <pivotField axis="axisRow" showAll="0" defaultSubtotal="0">
      <items count="26">
        <item x="1"/>
        <item x="2"/>
        <item x="3"/>
        <item x="4"/>
        <item x="5"/>
        <item x="6"/>
        <item x="7"/>
        <item x="8"/>
        <item x="9"/>
        <item x="10"/>
        <item x="11"/>
        <item x="12"/>
        <item x="13"/>
        <item x="14"/>
        <item x="15"/>
        <item x="16"/>
        <item x="17"/>
        <item x="18"/>
        <item x="19"/>
        <item x="20"/>
        <item x="21"/>
        <item x="22"/>
        <item x="23"/>
        <item x="24"/>
        <item x="0"/>
        <item x="25"/>
      </items>
    </pivotField>
  </pivotFields>
  <rowFields count="2">
    <field x="10"/>
    <field x="9"/>
  </rowFields>
  <rowItems count="55">
    <i>
      <x v="10"/>
    </i>
    <i r="1">
      <x v="37"/>
    </i>
    <i r="1">
      <x v="40"/>
    </i>
    <i r="1">
      <x v="43"/>
    </i>
    <i r="1">
      <x v="47"/>
    </i>
    <i r="1">
      <x v="50"/>
    </i>
    <i r="1">
      <x v="53"/>
    </i>
    <i r="1">
      <x v="56"/>
    </i>
    <i r="1">
      <x v="59"/>
    </i>
    <i>
      <x v="11"/>
    </i>
    <i r="1">
      <x v="2"/>
    </i>
    <i r="1">
      <x v="5"/>
    </i>
    <i r="1">
      <x v="8"/>
    </i>
    <i r="1">
      <x v="11"/>
    </i>
    <i r="1">
      <x v="14"/>
    </i>
    <i r="1">
      <x v="17"/>
    </i>
    <i r="1">
      <x v="20"/>
    </i>
    <i r="1">
      <x v="23"/>
    </i>
    <i r="1">
      <x v="27"/>
    </i>
    <i r="1">
      <x v="30"/>
    </i>
    <i r="1">
      <x v="33"/>
    </i>
    <i r="1">
      <x v="36"/>
    </i>
    <i r="1">
      <x v="39"/>
    </i>
    <i r="1">
      <x v="42"/>
    </i>
    <i r="1">
      <x v="45"/>
    </i>
    <i r="1">
      <x v="48"/>
    </i>
    <i r="1">
      <x v="51"/>
    </i>
    <i r="1">
      <x v="54"/>
    </i>
    <i r="1">
      <x v="57"/>
    </i>
    <i>
      <x v="12"/>
    </i>
    <i r="1">
      <x/>
    </i>
    <i r="1">
      <x v="3"/>
    </i>
    <i r="1">
      <x v="7"/>
    </i>
    <i r="1">
      <x v="10"/>
    </i>
    <i r="1">
      <x v="13"/>
    </i>
    <i r="1">
      <x v="16"/>
    </i>
    <i r="1">
      <x v="19"/>
    </i>
    <i r="1">
      <x v="22"/>
    </i>
    <i r="1">
      <x v="25"/>
    </i>
    <i r="1">
      <x v="28"/>
    </i>
    <i r="1">
      <x v="31"/>
    </i>
    <i r="1">
      <x v="34"/>
    </i>
    <i r="1">
      <x v="37"/>
    </i>
    <i r="1">
      <x v="40"/>
    </i>
    <i r="1">
      <x v="44"/>
    </i>
    <i r="1">
      <x v="47"/>
    </i>
    <i r="1">
      <x v="50"/>
    </i>
    <i r="1">
      <x v="55"/>
    </i>
    <i r="1">
      <x v="59"/>
    </i>
    <i>
      <x v="13"/>
    </i>
    <i r="1">
      <x v="2"/>
    </i>
    <i r="1">
      <x v="4"/>
    </i>
    <i r="1">
      <x v="7"/>
    </i>
    <i r="1">
      <x v="11"/>
    </i>
    <i t="grand">
      <x/>
    </i>
  </rowItems>
  <colFields count="1">
    <field x="-2"/>
  </colFields>
  <colItems count="2">
    <i>
      <x/>
    </i>
    <i i="1">
      <x v="1"/>
    </i>
  </colItems>
  <pageFields count="1">
    <pageField fld="3" hier="-1"/>
  </pageFields>
  <dataFields count="2">
    <dataField name="Sum of PE_COI" fld="4" baseField="0" baseItem="0"/>
    <dataField name="Sum of CE_COI" fld="2" baseField="0" baseItem="0"/>
  </dataFields>
  <chartFormats count="10">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EDFC54-CEF2-4B2A-A758-EEC523AF3877}"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E60" firstHeaderRow="1" firstDataRow="3" firstDataCol="1"/>
  <pivotFields count="11">
    <pivotField showAll="0"/>
    <pivotField dataField="1" showAll="0"/>
    <pivotField showAll="0"/>
    <pivotField axis="axisCol" multipleItemSelectionAllowed="1" showAll="0">
      <items count="21">
        <item h="1" x="8"/>
        <item h="1" x="9"/>
        <item h="1" x="10"/>
        <item h="1" x="11"/>
        <item h="1" m="1" x="13"/>
        <item h="1" m="1" x="14"/>
        <item h="1" m="1" x="15"/>
        <item h="1" m="1" x="16"/>
        <item h="1" m="1" x="17"/>
        <item h="1" m="1" x="18"/>
        <item h="1" m="1" x="19"/>
        <item h="1" x="12"/>
        <item h="1" x="6"/>
        <item h="1" x="7"/>
        <item h="1" x="0"/>
        <item h="1" x="1"/>
        <item h="1" x="2"/>
        <item h="1" x="3"/>
        <item x="4"/>
        <item h="1" x="5"/>
        <item t="default"/>
      </items>
    </pivotField>
    <pivotField showAll="0"/>
    <pivotField dataField="1" showAll="0"/>
    <pivotField showAll="0"/>
    <pivotField showAll="0">
      <items count="141">
        <item x="52"/>
        <item m="1" x="138"/>
        <item m="1" x="139"/>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Row"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Row" showAll="0">
      <items count="27">
        <item x="1"/>
        <item x="2"/>
        <item x="3"/>
        <item x="4"/>
        <item x="5"/>
        <item x="6"/>
        <item x="7"/>
        <item x="8"/>
        <item x="9"/>
        <item x="10"/>
        <item x="11"/>
        <item x="12"/>
        <item x="13"/>
        <item x="14"/>
        <item x="15"/>
        <item x="16"/>
        <item x="17"/>
        <item x="18"/>
        <item x="19"/>
        <item x="20"/>
        <item x="21"/>
        <item x="22"/>
        <item x="23"/>
        <item x="24"/>
        <item x="0"/>
        <item x="25"/>
        <item t="default"/>
      </items>
    </pivotField>
  </pivotFields>
  <rowFields count="2">
    <field x="10"/>
    <field x="9"/>
  </rowFields>
  <rowItems count="55">
    <i>
      <x v="10"/>
    </i>
    <i r="1">
      <x v="37"/>
    </i>
    <i r="1">
      <x v="40"/>
    </i>
    <i r="1">
      <x v="43"/>
    </i>
    <i r="1">
      <x v="47"/>
    </i>
    <i r="1">
      <x v="50"/>
    </i>
    <i r="1">
      <x v="53"/>
    </i>
    <i r="1">
      <x v="56"/>
    </i>
    <i r="1">
      <x v="59"/>
    </i>
    <i>
      <x v="11"/>
    </i>
    <i r="1">
      <x v="2"/>
    </i>
    <i r="1">
      <x v="5"/>
    </i>
    <i r="1">
      <x v="8"/>
    </i>
    <i r="1">
      <x v="11"/>
    </i>
    <i r="1">
      <x v="14"/>
    </i>
    <i r="1">
      <x v="17"/>
    </i>
    <i r="1">
      <x v="20"/>
    </i>
    <i r="1">
      <x v="23"/>
    </i>
    <i r="1">
      <x v="27"/>
    </i>
    <i r="1">
      <x v="30"/>
    </i>
    <i r="1">
      <x v="33"/>
    </i>
    <i r="1">
      <x v="36"/>
    </i>
    <i r="1">
      <x v="39"/>
    </i>
    <i r="1">
      <x v="42"/>
    </i>
    <i r="1">
      <x v="45"/>
    </i>
    <i r="1">
      <x v="48"/>
    </i>
    <i r="1">
      <x v="51"/>
    </i>
    <i r="1">
      <x v="54"/>
    </i>
    <i r="1">
      <x v="57"/>
    </i>
    <i>
      <x v="12"/>
    </i>
    <i r="1">
      <x/>
    </i>
    <i r="1">
      <x v="3"/>
    </i>
    <i r="1">
      <x v="7"/>
    </i>
    <i r="1">
      <x v="10"/>
    </i>
    <i r="1">
      <x v="13"/>
    </i>
    <i r="1">
      <x v="16"/>
    </i>
    <i r="1">
      <x v="19"/>
    </i>
    <i r="1">
      <x v="22"/>
    </i>
    <i r="1">
      <x v="25"/>
    </i>
    <i r="1">
      <x v="28"/>
    </i>
    <i r="1">
      <x v="31"/>
    </i>
    <i r="1">
      <x v="34"/>
    </i>
    <i r="1">
      <x v="37"/>
    </i>
    <i r="1">
      <x v="40"/>
    </i>
    <i r="1">
      <x v="44"/>
    </i>
    <i r="1">
      <x v="47"/>
    </i>
    <i r="1">
      <x v="50"/>
    </i>
    <i r="1">
      <x v="55"/>
    </i>
    <i r="1">
      <x v="59"/>
    </i>
    <i>
      <x v="13"/>
    </i>
    <i r="1">
      <x v="2"/>
    </i>
    <i r="1">
      <x v="4"/>
    </i>
    <i r="1">
      <x v="7"/>
    </i>
    <i r="1">
      <x v="11"/>
    </i>
    <i t="grand">
      <x/>
    </i>
  </rowItems>
  <colFields count="2">
    <field x="3"/>
    <field x="-2"/>
  </colFields>
  <colItems count="4">
    <i>
      <x v="18"/>
      <x/>
    </i>
    <i r="1" i="1">
      <x v="1"/>
    </i>
    <i t="grand">
      <x/>
    </i>
    <i t="grand" i="1">
      <x/>
    </i>
  </colItems>
  <dataFields count="2">
    <dataField name="Sum of PE_OI" fld="5" baseField="0" baseItem="0"/>
    <dataField name="Sum of CE_OI" fld="1" baseField="0" baseItem="0"/>
  </dataFields>
  <chartFormats count="6">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2">
          <reference field="4294967294" count="1" selected="0">
            <x v="0"/>
          </reference>
          <reference field="3" count="1" selected="0">
            <x v="19"/>
          </reference>
        </references>
      </pivotArea>
    </chartFormat>
    <chartFormat chart="8" format="9" series="1">
      <pivotArea type="data" outline="0" fieldPosition="0">
        <references count="2">
          <reference field="4294967294" count="1" selected="0">
            <x v="1"/>
          </reference>
          <reference field="3" count="1" selected="0">
            <x v="19"/>
          </reference>
        </references>
      </pivotArea>
    </chartFormat>
    <chartFormat chart="8" format="10" series="1">
      <pivotArea type="data" outline="0" fieldPosition="0">
        <references count="2">
          <reference field="4294967294" count="1" selected="0">
            <x v="0"/>
          </reference>
          <reference field="3" count="1" selected="0">
            <x v="18"/>
          </reference>
        </references>
      </pivotArea>
    </chartFormat>
    <chartFormat chart="8" format="11" series="1">
      <pivotArea type="data" outline="0" fieldPosition="0">
        <references count="2">
          <reference field="4294967294" count="1" selected="0">
            <x v="1"/>
          </reference>
          <reference field="3"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ikePrice" xr10:uid="{8D3C32AB-F41F-4700-A076-7BDD6D1F9928}" sourceName="StrikePrice">
  <pivotTables>
    <pivotTable tabId="6" name="PivotTable4"/>
    <pivotTable tabId="6" name="PivotTable9"/>
  </pivotTables>
  <data>
    <tabular pivotCacheId="2074503129">
      <items count="20">
        <i x="0"/>
        <i x="1"/>
        <i x="2"/>
        <i x="3"/>
        <i x="4" s="1"/>
        <i x="5"/>
        <i x="6"/>
        <i x="7"/>
        <i x="8"/>
        <i x="9"/>
        <i x="10"/>
        <i x="11"/>
        <i x="13" nd="1"/>
        <i x="14" nd="1"/>
        <i x="15" nd="1"/>
        <i x="16" nd="1"/>
        <i x="17" nd="1"/>
        <i x="18" nd="1"/>
        <i x="19" nd="1"/>
        <i x="1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rikePrice" xr10:uid="{89E5CCF7-28D1-4FED-AABD-B2BFB35C45CC}" cache="Slicer_StrikePrice" caption="StrikePrice"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131D5-BC08-42D0-B6E8-55B9952AEA04}">
  <sheetPr codeName="Sheet9"/>
  <dimension ref="A1:AE45"/>
  <sheetViews>
    <sheetView workbookViewId="0">
      <selection activeCell="D12" sqref="D12"/>
    </sheetView>
  </sheetViews>
  <sheetFormatPr defaultRowHeight="15" x14ac:dyDescent="0.25"/>
  <cols>
    <col min="1" max="1" width="28.85546875" bestFit="1" customWidth="1"/>
    <col min="2" max="2" width="15.5703125" bestFit="1" customWidth="1"/>
  </cols>
  <sheetData>
    <row r="1" spans="1:31" x14ac:dyDescent="0.25">
      <c r="A1" t="s">
        <v>0</v>
      </c>
      <c r="B1" t="s">
        <v>1</v>
      </c>
      <c r="C1" t="s">
        <v>2</v>
      </c>
      <c r="N1" t="s">
        <v>148</v>
      </c>
      <c r="O1" t="s">
        <v>149</v>
      </c>
      <c r="P1" t="s">
        <v>150</v>
      </c>
    </row>
    <row r="2" spans="1:31" x14ac:dyDescent="0.25">
      <c r="A2" t="s">
        <v>3</v>
      </c>
      <c r="B2" t="s">
        <v>76</v>
      </c>
      <c r="N2">
        <v>52929.4</v>
      </c>
      <c r="O2">
        <v>14.24</v>
      </c>
      <c r="P2">
        <v>1.2954625063421739</v>
      </c>
    </row>
    <row r="3" spans="1:31" x14ac:dyDescent="0.25">
      <c r="A3" t="s">
        <v>5</v>
      </c>
      <c r="B3" s="1">
        <v>45427</v>
      </c>
    </row>
    <row r="4" spans="1:31" x14ac:dyDescent="0.25">
      <c r="A4" t="s">
        <v>6</v>
      </c>
      <c r="B4" s="2">
        <f ca="1">NOW()</f>
        <v>45469.571693981481</v>
      </c>
      <c r="G4" t="s">
        <v>151</v>
      </c>
      <c r="H4" t="s">
        <v>152</v>
      </c>
      <c r="I4" t="s">
        <v>153</v>
      </c>
      <c r="J4" t="s">
        <v>154</v>
      </c>
      <c r="K4" t="s">
        <v>155</v>
      </c>
      <c r="L4" t="s">
        <v>156</v>
      </c>
      <c r="M4" t="s">
        <v>157</v>
      </c>
      <c r="N4" t="s">
        <v>158</v>
      </c>
      <c r="O4" t="s">
        <v>159</v>
      </c>
      <c r="P4" t="s">
        <v>160</v>
      </c>
      <c r="Q4" t="s">
        <v>161</v>
      </c>
      <c r="R4" t="s">
        <v>162</v>
      </c>
      <c r="S4" t="s">
        <v>53</v>
      </c>
      <c r="T4" t="s">
        <v>163</v>
      </c>
      <c r="U4" t="s">
        <v>164</v>
      </c>
      <c r="V4" t="s">
        <v>165</v>
      </c>
      <c r="W4" t="s">
        <v>166</v>
      </c>
      <c r="X4" t="s">
        <v>167</v>
      </c>
      <c r="Y4" t="s">
        <v>168</v>
      </c>
      <c r="Z4" t="s">
        <v>169</v>
      </c>
      <c r="AA4" t="s">
        <v>170</v>
      </c>
      <c r="AB4" t="s">
        <v>171</v>
      </c>
      <c r="AC4" t="s">
        <v>172</v>
      </c>
      <c r="AD4" t="s">
        <v>173</v>
      </c>
      <c r="AE4" t="s">
        <v>174</v>
      </c>
    </row>
    <row r="5" spans="1:31" x14ac:dyDescent="0.25">
      <c r="A5" t="s">
        <v>7</v>
      </c>
      <c r="B5">
        <v>47754.1</v>
      </c>
      <c r="C5">
        <v>48075</v>
      </c>
      <c r="F5">
        <v>0</v>
      </c>
      <c r="G5">
        <v>2055.65</v>
      </c>
      <c r="H5">
        <v>2047.05</v>
      </c>
      <c r="I5">
        <v>2049.25</v>
      </c>
      <c r="J5">
        <v>332.2</v>
      </c>
      <c r="K5">
        <v>19.350000000000001</v>
      </c>
      <c r="L5" t="s">
        <v>1</v>
      </c>
      <c r="M5" t="s">
        <v>299</v>
      </c>
      <c r="N5">
        <v>68580</v>
      </c>
      <c r="O5">
        <v>-5025</v>
      </c>
      <c r="P5">
        <v>-6.83</v>
      </c>
      <c r="Q5">
        <v>73605</v>
      </c>
      <c r="R5">
        <v>17625</v>
      </c>
      <c r="S5">
        <v>50900</v>
      </c>
      <c r="T5">
        <v>1.9</v>
      </c>
      <c r="U5">
        <v>1.85</v>
      </c>
      <c r="V5">
        <v>1.9</v>
      </c>
      <c r="W5">
        <v>-16.05</v>
      </c>
      <c r="X5">
        <v>-89.42</v>
      </c>
      <c r="Y5" t="s">
        <v>2</v>
      </c>
      <c r="Z5" t="s">
        <v>300</v>
      </c>
      <c r="AA5">
        <v>1399800</v>
      </c>
      <c r="AB5">
        <v>412170</v>
      </c>
      <c r="AC5">
        <v>41.73</v>
      </c>
      <c r="AD5">
        <v>987630</v>
      </c>
      <c r="AE5">
        <v>18041880</v>
      </c>
    </row>
    <row r="6" spans="1:31" x14ac:dyDescent="0.25">
      <c r="A6" t="s">
        <v>8</v>
      </c>
      <c r="B6">
        <v>47389.8</v>
      </c>
      <c r="C6">
        <v>47600</v>
      </c>
      <c r="F6">
        <v>1</v>
      </c>
      <c r="G6">
        <v>1950.25</v>
      </c>
      <c r="H6">
        <v>1945.4</v>
      </c>
      <c r="I6">
        <v>1948</v>
      </c>
      <c r="J6">
        <v>306.89999999999998</v>
      </c>
      <c r="K6">
        <v>18.7</v>
      </c>
      <c r="L6" t="s">
        <v>1</v>
      </c>
      <c r="M6" t="s">
        <v>301</v>
      </c>
      <c r="N6">
        <v>414450</v>
      </c>
      <c r="O6">
        <v>-193080</v>
      </c>
      <c r="P6">
        <v>-31.78</v>
      </c>
      <c r="Q6">
        <v>607530</v>
      </c>
      <c r="R6">
        <v>461610</v>
      </c>
      <c r="S6">
        <v>51000</v>
      </c>
      <c r="T6">
        <v>1.9</v>
      </c>
      <c r="U6">
        <v>1.85</v>
      </c>
      <c r="V6">
        <v>1.85</v>
      </c>
      <c r="W6">
        <v>-18</v>
      </c>
      <c r="X6">
        <v>-90.68</v>
      </c>
      <c r="Y6" t="s">
        <v>2</v>
      </c>
      <c r="Z6" t="s">
        <v>302</v>
      </c>
      <c r="AA6">
        <v>6673860</v>
      </c>
      <c r="AB6">
        <v>2073300</v>
      </c>
      <c r="AC6">
        <v>45.07</v>
      </c>
      <c r="AD6">
        <v>4600560</v>
      </c>
      <c r="AE6">
        <v>74245410</v>
      </c>
    </row>
    <row r="7" spans="1:31" x14ac:dyDescent="0.25">
      <c r="A7" t="s">
        <v>9</v>
      </c>
      <c r="B7">
        <v>47841.599999999999</v>
      </c>
      <c r="C7">
        <v>48075</v>
      </c>
      <c r="F7">
        <v>2</v>
      </c>
      <c r="G7">
        <v>1854.5</v>
      </c>
      <c r="H7">
        <v>1847.2</v>
      </c>
      <c r="I7">
        <v>1854.75</v>
      </c>
      <c r="J7">
        <v>306.89999999999998</v>
      </c>
      <c r="K7">
        <v>19.829999999999998</v>
      </c>
      <c r="L7" t="s">
        <v>1</v>
      </c>
      <c r="M7" t="s">
        <v>303</v>
      </c>
      <c r="N7">
        <v>142995</v>
      </c>
      <c r="O7">
        <v>-16680</v>
      </c>
      <c r="P7">
        <v>-10.45</v>
      </c>
      <c r="Q7">
        <v>159675</v>
      </c>
      <c r="R7">
        <v>101700</v>
      </c>
      <c r="S7">
        <v>51100</v>
      </c>
      <c r="T7">
        <v>2.15</v>
      </c>
      <c r="U7">
        <v>2.1</v>
      </c>
      <c r="V7">
        <v>2.1</v>
      </c>
      <c r="W7">
        <v>-20.2</v>
      </c>
      <c r="X7">
        <v>-90.58</v>
      </c>
      <c r="Y7" t="s">
        <v>2</v>
      </c>
      <c r="Z7" t="s">
        <v>304</v>
      </c>
      <c r="AA7">
        <v>1749990</v>
      </c>
      <c r="AB7">
        <v>520310</v>
      </c>
      <c r="AC7">
        <v>42.31</v>
      </c>
      <c r="AD7">
        <v>1229680</v>
      </c>
      <c r="AE7">
        <v>27965055</v>
      </c>
    </row>
    <row r="8" spans="1:31" x14ac:dyDescent="0.25">
      <c r="A8" t="s">
        <v>10</v>
      </c>
      <c r="B8">
        <v>46983.25</v>
      </c>
      <c r="C8">
        <v>47200</v>
      </c>
      <c r="F8">
        <v>3</v>
      </c>
      <c r="G8">
        <v>1750.4</v>
      </c>
      <c r="H8">
        <v>1744.5</v>
      </c>
      <c r="I8">
        <v>1744.6</v>
      </c>
      <c r="J8">
        <v>288.3</v>
      </c>
      <c r="K8">
        <v>19.8</v>
      </c>
      <c r="L8" t="s">
        <v>1</v>
      </c>
      <c r="M8" t="s">
        <v>305</v>
      </c>
      <c r="N8">
        <v>428865</v>
      </c>
      <c r="O8">
        <v>-39615</v>
      </c>
      <c r="P8">
        <v>-8.4600000000000009</v>
      </c>
      <c r="Q8">
        <v>468480</v>
      </c>
      <c r="R8">
        <v>103290</v>
      </c>
      <c r="S8">
        <v>51200</v>
      </c>
      <c r="T8">
        <v>2.25</v>
      </c>
      <c r="U8">
        <v>2.2000000000000002</v>
      </c>
      <c r="V8">
        <v>2.2000000000000002</v>
      </c>
      <c r="W8">
        <v>-22.75</v>
      </c>
      <c r="X8">
        <v>-91.18</v>
      </c>
      <c r="Y8" t="s">
        <v>2</v>
      </c>
      <c r="Z8" t="s">
        <v>306</v>
      </c>
      <c r="AA8">
        <v>2439435</v>
      </c>
      <c r="AB8">
        <v>509445</v>
      </c>
      <c r="AC8">
        <v>26.4</v>
      </c>
      <c r="AD8">
        <v>1929990</v>
      </c>
      <c r="AE8">
        <v>31528005</v>
      </c>
    </row>
    <row r="9" spans="1:31" x14ac:dyDescent="0.25">
      <c r="A9" t="s">
        <v>11</v>
      </c>
      <c r="B9">
        <v>47421.1</v>
      </c>
      <c r="C9">
        <v>47607.25</v>
      </c>
      <c r="F9">
        <v>4</v>
      </c>
      <c r="G9">
        <v>1655.7</v>
      </c>
      <c r="H9">
        <v>1648.6</v>
      </c>
      <c r="I9">
        <v>1640.4</v>
      </c>
      <c r="J9">
        <v>305.89999999999998</v>
      </c>
      <c r="K9">
        <v>22.92</v>
      </c>
      <c r="L9" t="s">
        <v>1</v>
      </c>
      <c r="M9" t="s">
        <v>307</v>
      </c>
      <c r="N9">
        <v>320970</v>
      </c>
      <c r="O9">
        <v>5265</v>
      </c>
      <c r="P9">
        <v>1.67</v>
      </c>
      <c r="Q9">
        <v>315705</v>
      </c>
      <c r="R9">
        <v>253605</v>
      </c>
      <c r="S9">
        <v>51300</v>
      </c>
      <c r="T9">
        <v>2.4500000000000002</v>
      </c>
      <c r="U9">
        <v>2.4</v>
      </c>
      <c r="V9">
        <v>2.4500000000000002</v>
      </c>
      <c r="W9">
        <v>-25.5</v>
      </c>
      <c r="X9">
        <v>-91.23</v>
      </c>
      <c r="Y9" t="s">
        <v>2</v>
      </c>
      <c r="Z9" t="s">
        <v>308</v>
      </c>
      <c r="AA9">
        <v>2935335</v>
      </c>
      <c r="AB9">
        <v>1224705</v>
      </c>
      <c r="AC9">
        <v>71.59</v>
      </c>
      <c r="AD9">
        <v>1710630</v>
      </c>
      <c r="AE9">
        <v>40705935</v>
      </c>
    </row>
    <row r="10" spans="1:31" x14ac:dyDescent="0.25">
      <c r="A10" t="s">
        <v>12</v>
      </c>
      <c r="B10">
        <v>156036</v>
      </c>
      <c r="F10">
        <v>5</v>
      </c>
      <c r="G10">
        <v>1552.05</v>
      </c>
      <c r="H10">
        <v>1546.9</v>
      </c>
      <c r="I10">
        <v>1549.35</v>
      </c>
      <c r="J10">
        <v>291.10000000000002</v>
      </c>
      <c r="K10">
        <v>23.14</v>
      </c>
      <c r="L10" t="s">
        <v>1</v>
      </c>
      <c r="M10" t="s">
        <v>309</v>
      </c>
      <c r="N10">
        <v>204930</v>
      </c>
      <c r="O10">
        <v>-28980</v>
      </c>
      <c r="P10">
        <v>-12.39</v>
      </c>
      <c r="Q10">
        <v>233910</v>
      </c>
      <c r="R10">
        <v>317160</v>
      </c>
      <c r="S10">
        <v>51400</v>
      </c>
      <c r="T10">
        <v>2.5499999999999998</v>
      </c>
      <c r="U10">
        <v>2.5</v>
      </c>
      <c r="V10">
        <v>2.5</v>
      </c>
      <c r="W10">
        <v>-29.4</v>
      </c>
      <c r="X10">
        <v>-92.16</v>
      </c>
      <c r="Y10" t="s">
        <v>2</v>
      </c>
      <c r="Z10" t="s">
        <v>310</v>
      </c>
      <c r="AA10">
        <v>2146830</v>
      </c>
      <c r="AB10">
        <v>709770</v>
      </c>
      <c r="AC10">
        <v>49.39</v>
      </c>
      <c r="AD10">
        <v>1437060</v>
      </c>
      <c r="AE10">
        <v>41207385</v>
      </c>
    </row>
    <row r="11" spans="1:31" x14ac:dyDescent="0.25">
      <c r="A11" t="s">
        <v>13</v>
      </c>
      <c r="B11">
        <v>48000</v>
      </c>
      <c r="F11">
        <v>6</v>
      </c>
      <c r="G11">
        <v>1452.2</v>
      </c>
      <c r="H11">
        <v>1448.5</v>
      </c>
      <c r="I11">
        <v>1450</v>
      </c>
      <c r="J11">
        <v>278.89999999999998</v>
      </c>
      <c r="K11">
        <v>23.82</v>
      </c>
      <c r="L11" t="s">
        <v>1</v>
      </c>
      <c r="M11" t="s">
        <v>311</v>
      </c>
      <c r="N11">
        <v>777450</v>
      </c>
      <c r="O11">
        <v>-193770</v>
      </c>
      <c r="P11">
        <v>-19.95</v>
      </c>
      <c r="Q11">
        <v>971220</v>
      </c>
      <c r="R11">
        <v>882885</v>
      </c>
      <c r="S11">
        <v>51500</v>
      </c>
      <c r="T11">
        <v>2.75</v>
      </c>
      <c r="U11">
        <v>2.7</v>
      </c>
      <c r="V11">
        <v>2.75</v>
      </c>
      <c r="W11">
        <v>-33.200000000000003</v>
      </c>
      <c r="X11">
        <v>-92.35</v>
      </c>
      <c r="Y11" t="s">
        <v>2</v>
      </c>
      <c r="Z11" t="s">
        <v>312</v>
      </c>
      <c r="AA11">
        <v>5202585</v>
      </c>
      <c r="AB11">
        <v>1786265</v>
      </c>
      <c r="AC11">
        <v>52.29</v>
      </c>
      <c r="AD11">
        <v>3416320</v>
      </c>
      <c r="AE11">
        <v>87620220</v>
      </c>
    </row>
    <row r="12" spans="1:31" x14ac:dyDescent="0.25">
      <c r="A12" t="s">
        <v>14</v>
      </c>
      <c r="B12">
        <v>189.2</v>
      </c>
      <c r="C12">
        <v>337.85</v>
      </c>
      <c r="F12">
        <v>7</v>
      </c>
      <c r="G12">
        <v>1351.7</v>
      </c>
      <c r="H12">
        <v>1347.65</v>
      </c>
      <c r="I12">
        <v>1353.05</v>
      </c>
      <c r="J12">
        <v>298.60000000000002</v>
      </c>
      <c r="K12">
        <v>28.32</v>
      </c>
      <c r="L12" t="s">
        <v>1</v>
      </c>
      <c r="M12" t="s">
        <v>313</v>
      </c>
      <c r="N12">
        <v>263940</v>
      </c>
      <c r="O12">
        <v>-60360</v>
      </c>
      <c r="P12">
        <v>-18.61</v>
      </c>
      <c r="Q12">
        <v>324300</v>
      </c>
      <c r="R12">
        <v>388860</v>
      </c>
      <c r="S12">
        <v>51600</v>
      </c>
      <c r="T12">
        <v>2.95</v>
      </c>
      <c r="U12">
        <v>2.9</v>
      </c>
      <c r="V12">
        <v>2.95</v>
      </c>
      <c r="W12">
        <v>-38.4</v>
      </c>
      <c r="X12">
        <v>-92.87</v>
      </c>
      <c r="Y12" t="s">
        <v>2</v>
      </c>
      <c r="Z12" t="s">
        <v>314</v>
      </c>
      <c r="AA12">
        <v>2323755</v>
      </c>
      <c r="AB12">
        <v>859835</v>
      </c>
      <c r="AC12">
        <v>58.74</v>
      </c>
      <c r="AD12">
        <v>1463920</v>
      </c>
      <c r="AE12">
        <v>51425415</v>
      </c>
    </row>
    <row r="13" spans="1:31" x14ac:dyDescent="0.25">
      <c r="A13" t="s">
        <v>15</v>
      </c>
      <c r="B13">
        <v>48100</v>
      </c>
      <c r="F13">
        <v>8</v>
      </c>
      <c r="G13">
        <v>1252.8499999999999</v>
      </c>
      <c r="H13">
        <v>1249.5</v>
      </c>
      <c r="I13">
        <v>1248.8</v>
      </c>
      <c r="J13">
        <v>288.8</v>
      </c>
      <c r="K13">
        <v>30.08</v>
      </c>
      <c r="L13" t="s">
        <v>1</v>
      </c>
      <c r="M13" t="s">
        <v>315</v>
      </c>
      <c r="N13">
        <v>307575</v>
      </c>
      <c r="O13">
        <v>-76455</v>
      </c>
      <c r="P13">
        <v>-19.91</v>
      </c>
      <c r="Q13">
        <v>384030</v>
      </c>
      <c r="R13">
        <v>671415</v>
      </c>
      <c r="S13">
        <v>51700</v>
      </c>
      <c r="T13">
        <v>3.2</v>
      </c>
      <c r="U13">
        <v>3.15</v>
      </c>
      <c r="V13">
        <v>3.15</v>
      </c>
      <c r="W13">
        <v>-44.15</v>
      </c>
      <c r="X13">
        <v>-93.34</v>
      </c>
      <c r="Y13" t="s">
        <v>2</v>
      </c>
      <c r="Z13" t="s">
        <v>316</v>
      </c>
      <c r="AA13">
        <v>2411565</v>
      </c>
      <c r="AB13">
        <v>942485</v>
      </c>
      <c r="AC13">
        <v>64.150000000000006</v>
      </c>
      <c r="AD13">
        <v>1469080</v>
      </c>
      <c r="AE13">
        <v>60938535</v>
      </c>
    </row>
    <row r="14" spans="1:31" x14ac:dyDescent="0.25">
      <c r="A14" t="s">
        <v>16</v>
      </c>
      <c r="B14">
        <v>153.69999999999999</v>
      </c>
      <c r="C14">
        <v>399</v>
      </c>
      <c r="F14">
        <v>9</v>
      </c>
      <c r="G14">
        <v>1149.9000000000001</v>
      </c>
      <c r="H14">
        <v>1147.45</v>
      </c>
      <c r="I14">
        <v>1152.25</v>
      </c>
      <c r="J14">
        <v>285.14999999999998</v>
      </c>
      <c r="K14">
        <v>32.89</v>
      </c>
      <c r="L14" t="s">
        <v>1</v>
      </c>
      <c r="M14" t="s">
        <v>317</v>
      </c>
      <c r="N14">
        <v>250500</v>
      </c>
      <c r="O14">
        <v>-51210</v>
      </c>
      <c r="P14">
        <v>-16.97</v>
      </c>
      <c r="Q14">
        <v>301710</v>
      </c>
      <c r="R14">
        <v>914940</v>
      </c>
      <c r="S14">
        <v>51800</v>
      </c>
      <c r="T14">
        <v>3.5</v>
      </c>
      <c r="U14">
        <v>3.45</v>
      </c>
      <c r="V14">
        <v>3.5</v>
      </c>
      <c r="W14">
        <v>-51.15</v>
      </c>
      <c r="X14">
        <v>-93.6</v>
      </c>
      <c r="Y14" t="s">
        <v>2</v>
      </c>
      <c r="Z14" t="s">
        <v>318</v>
      </c>
      <c r="AA14">
        <v>2439300</v>
      </c>
      <c r="AB14">
        <v>670060</v>
      </c>
      <c r="AC14">
        <v>37.869999999999997</v>
      </c>
      <c r="AD14">
        <v>1769240</v>
      </c>
      <c r="AE14">
        <v>71366445</v>
      </c>
    </row>
    <row r="15" spans="1:31" x14ac:dyDescent="0.25">
      <c r="A15" t="s">
        <v>17</v>
      </c>
      <c r="B15">
        <v>2846914</v>
      </c>
      <c r="C15">
        <v>2584448</v>
      </c>
      <c r="F15">
        <v>10</v>
      </c>
      <c r="G15">
        <v>1051.4000000000001</v>
      </c>
      <c r="H15">
        <v>1049.55</v>
      </c>
      <c r="I15">
        <v>1049.9000000000001</v>
      </c>
      <c r="J15">
        <v>277.05</v>
      </c>
      <c r="K15">
        <v>35.85</v>
      </c>
      <c r="L15" t="s">
        <v>1</v>
      </c>
      <c r="M15" t="s">
        <v>319</v>
      </c>
      <c r="N15">
        <v>252810</v>
      </c>
      <c r="O15">
        <v>-51870</v>
      </c>
      <c r="P15">
        <v>-17.02</v>
      </c>
      <c r="Q15">
        <v>304680</v>
      </c>
      <c r="R15">
        <v>1045980</v>
      </c>
      <c r="S15">
        <v>51900</v>
      </c>
      <c r="T15">
        <v>3.9</v>
      </c>
      <c r="U15">
        <v>3.85</v>
      </c>
      <c r="V15">
        <v>3.9</v>
      </c>
      <c r="W15">
        <v>-59.7</v>
      </c>
      <c r="X15">
        <v>-93.87</v>
      </c>
      <c r="Y15" t="s">
        <v>2</v>
      </c>
      <c r="Z15" t="s">
        <v>320</v>
      </c>
      <c r="AA15">
        <v>2253975</v>
      </c>
      <c r="AB15">
        <v>852955</v>
      </c>
      <c r="AC15">
        <v>60.88</v>
      </c>
      <c r="AD15">
        <v>1401020</v>
      </c>
      <c r="AE15">
        <v>66446115</v>
      </c>
    </row>
    <row r="16" spans="1:31" x14ac:dyDescent="0.25">
      <c r="A16" t="s">
        <v>18</v>
      </c>
      <c r="B16">
        <v>-211477</v>
      </c>
      <c r="C16">
        <v>586536</v>
      </c>
      <c r="F16">
        <v>11</v>
      </c>
      <c r="G16">
        <v>950.5</v>
      </c>
      <c r="H16">
        <v>948.6</v>
      </c>
      <c r="I16">
        <v>950</v>
      </c>
      <c r="J16">
        <v>262.55</v>
      </c>
      <c r="K16">
        <v>38.19</v>
      </c>
      <c r="L16" t="s">
        <v>1</v>
      </c>
      <c r="M16" t="s">
        <v>321</v>
      </c>
      <c r="N16">
        <v>790035</v>
      </c>
      <c r="O16">
        <v>-359585</v>
      </c>
      <c r="P16">
        <v>-31.28</v>
      </c>
      <c r="Q16">
        <v>1149620</v>
      </c>
      <c r="R16">
        <v>9954465</v>
      </c>
      <c r="S16">
        <v>52000</v>
      </c>
      <c r="T16">
        <v>4.45</v>
      </c>
      <c r="U16">
        <v>4.4000000000000004</v>
      </c>
      <c r="V16">
        <v>4.45</v>
      </c>
      <c r="W16">
        <v>-69.7</v>
      </c>
      <c r="X16">
        <v>-94</v>
      </c>
      <c r="Y16" t="s">
        <v>2</v>
      </c>
      <c r="Z16" t="s">
        <v>322</v>
      </c>
      <c r="AA16">
        <v>7152825</v>
      </c>
      <c r="AB16">
        <v>2912055</v>
      </c>
      <c r="AC16">
        <v>68.67</v>
      </c>
      <c r="AD16">
        <v>4240770</v>
      </c>
      <c r="AE16">
        <v>167277000</v>
      </c>
    </row>
    <row r="17" spans="1:31" x14ac:dyDescent="0.25">
      <c r="A17" t="s">
        <v>19</v>
      </c>
      <c r="B17">
        <v>195915</v>
      </c>
      <c r="C17">
        <v>157009</v>
      </c>
      <c r="F17">
        <v>12</v>
      </c>
      <c r="G17">
        <v>851.8</v>
      </c>
      <c r="H17">
        <v>849.9</v>
      </c>
      <c r="I17">
        <v>849.55</v>
      </c>
      <c r="J17">
        <v>250.25</v>
      </c>
      <c r="K17">
        <v>41.76</v>
      </c>
      <c r="L17" t="s">
        <v>1</v>
      </c>
      <c r="M17" t="s">
        <v>323</v>
      </c>
      <c r="N17">
        <v>221970</v>
      </c>
      <c r="O17">
        <v>-31770</v>
      </c>
      <c r="P17">
        <v>-12.52</v>
      </c>
      <c r="Q17">
        <v>253740</v>
      </c>
      <c r="R17">
        <v>4905360</v>
      </c>
      <c r="S17">
        <v>52100</v>
      </c>
      <c r="T17">
        <v>5</v>
      </c>
      <c r="U17">
        <v>4.95</v>
      </c>
      <c r="V17">
        <v>4.95</v>
      </c>
      <c r="W17">
        <v>-83.65</v>
      </c>
      <c r="X17">
        <v>-94.41</v>
      </c>
      <c r="Y17" t="s">
        <v>2</v>
      </c>
      <c r="Z17" t="s">
        <v>324</v>
      </c>
      <c r="AA17">
        <v>2732325</v>
      </c>
      <c r="AB17">
        <v>1515585</v>
      </c>
      <c r="AC17">
        <v>124.56</v>
      </c>
      <c r="AD17">
        <v>1216740</v>
      </c>
      <c r="AE17">
        <v>90040065</v>
      </c>
    </row>
    <row r="18" spans="1:31" x14ac:dyDescent="0.25">
      <c r="A18" t="s">
        <v>20</v>
      </c>
      <c r="B18">
        <v>48000</v>
      </c>
      <c r="C18">
        <v>47000</v>
      </c>
      <c r="F18">
        <v>13</v>
      </c>
      <c r="G18">
        <v>752.6</v>
      </c>
      <c r="H18">
        <v>751.05</v>
      </c>
      <c r="I18">
        <v>752.4</v>
      </c>
      <c r="J18">
        <v>237.1</v>
      </c>
      <c r="K18">
        <v>46.01</v>
      </c>
      <c r="L18" t="s">
        <v>1</v>
      </c>
      <c r="M18" t="s">
        <v>325</v>
      </c>
      <c r="N18">
        <v>311655</v>
      </c>
      <c r="O18">
        <v>-146325</v>
      </c>
      <c r="P18">
        <v>-31.95</v>
      </c>
      <c r="Q18">
        <v>457980</v>
      </c>
      <c r="R18">
        <v>14447265</v>
      </c>
      <c r="S18">
        <v>52200</v>
      </c>
      <c r="T18">
        <v>5.95</v>
      </c>
      <c r="U18">
        <v>5.9</v>
      </c>
      <c r="V18">
        <v>5.95</v>
      </c>
      <c r="W18">
        <v>-99.95</v>
      </c>
      <c r="X18">
        <v>-94.38</v>
      </c>
      <c r="Y18" t="s">
        <v>2</v>
      </c>
      <c r="Z18" t="s">
        <v>326</v>
      </c>
      <c r="AA18">
        <v>3163410</v>
      </c>
      <c r="AB18">
        <v>2065430</v>
      </c>
      <c r="AC18">
        <v>188.11</v>
      </c>
      <c r="AD18">
        <v>1097980</v>
      </c>
      <c r="AE18">
        <v>113260965</v>
      </c>
    </row>
    <row r="19" spans="1:31" x14ac:dyDescent="0.25">
      <c r="A19" t="s">
        <v>21</v>
      </c>
      <c r="B19">
        <v>189.2</v>
      </c>
      <c r="C19">
        <v>39.799999999999997</v>
      </c>
      <c r="F19">
        <v>14</v>
      </c>
      <c r="G19">
        <v>653.35</v>
      </c>
      <c r="H19">
        <v>652.04999999999995</v>
      </c>
      <c r="I19">
        <v>654.9</v>
      </c>
      <c r="J19">
        <v>214.25</v>
      </c>
      <c r="K19">
        <v>48.62</v>
      </c>
      <c r="L19" t="s">
        <v>1</v>
      </c>
      <c r="M19" t="s">
        <v>327</v>
      </c>
      <c r="N19">
        <v>337635</v>
      </c>
      <c r="O19">
        <v>-316230</v>
      </c>
      <c r="P19">
        <v>-48.36</v>
      </c>
      <c r="Q19">
        <v>653865</v>
      </c>
      <c r="R19">
        <v>26244660</v>
      </c>
      <c r="S19">
        <v>52300</v>
      </c>
      <c r="T19">
        <v>7.55</v>
      </c>
      <c r="U19">
        <v>7.5</v>
      </c>
      <c r="V19">
        <v>7.55</v>
      </c>
      <c r="W19">
        <v>-121.65</v>
      </c>
      <c r="X19">
        <v>-94.16</v>
      </c>
      <c r="Y19" t="s">
        <v>2</v>
      </c>
      <c r="Z19" t="s">
        <v>328</v>
      </c>
      <c r="AA19">
        <v>3225315</v>
      </c>
      <c r="AB19">
        <v>2280060</v>
      </c>
      <c r="AC19">
        <v>241.21</v>
      </c>
      <c r="AD19">
        <v>945255</v>
      </c>
      <c r="AE19">
        <v>127329240</v>
      </c>
    </row>
    <row r="20" spans="1:31" x14ac:dyDescent="0.25">
      <c r="A20" t="s">
        <v>22</v>
      </c>
      <c r="B20">
        <v>16940</v>
      </c>
      <c r="C20">
        <v>63125</v>
      </c>
      <c r="F20">
        <v>15</v>
      </c>
      <c r="G20">
        <v>555.45000000000005</v>
      </c>
      <c r="H20">
        <v>554.35</v>
      </c>
      <c r="I20">
        <v>555.70000000000005</v>
      </c>
      <c r="J20">
        <v>188.3</v>
      </c>
      <c r="K20">
        <v>51.25</v>
      </c>
      <c r="L20" t="s">
        <v>1</v>
      </c>
      <c r="M20" t="s">
        <v>217</v>
      </c>
      <c r="N20">
        <v>1812045</v>
      </c>
      <c r="O20">
        <v>1002150</v>
      </c>
      <c r="P20">
        <v>123.74</v>
      </c>
      <c r="Q20">
        <v>809895</v>
      </c>
      <c r="R20">
        <v>64395585</v>
      </c>
      <c r="S20">
        <v>52400</v>
      </c>
      <c r="T20">
        <v>10.050000000000001</v>
      </c>
      <c r="U20">
        <v>9.9499999999999993</v>
      </c>
      <c r="V20">
        <v>10</v>
      </c>
      <c r="W20">
        <v>-148.25</v>
      </c>
      <c r="X20">
        <v>-93.68</v>
      </c>
      <c r="Y20" t="s">
        <v>2</v>
      </c>
      <c r="Z20" t="s">
        <v>218</v>
      </c>
      <c r="AA20">
        <v>4774410</v>
      </c>
      <c r="AB20">
        <v>3576770</v>
      </c>
      <c r="AC20">
        <v>298.64999999999998</v>
      </c>
      <c r="AD20">
        <v>1197640</v>
      </c>
      <c r="AE20">
        <v>150395040</v>
      </c>
    </row>
    <row r="21" spans="1:31" x14ac:dyDescent="0.25">
      <c r="A21" t="s">
        <v>23</v>
      </c>
      <c r="B21">
        <v>47000</v>
      </c>
      <c r="C21">
        <v>47000</v>
      </c>
      <c r="F21">
        <v>16</v>
      </c>
      <c r="G21">
        <v>458.85</v>
      </c>
      <c r="H21">
        <v>458</v>
      </c>
      <c r="I21">
        <v>460.2</v>
      </c>
      <c r="J21">
        <v>157.6</v>
      </c>
      <c r="K21">
        <v>52.08</v>
      </c>
      <c r="L21" t="s">
        <v>1</v>
      </c>
      <c r="M21" t="s">
        <v>219</v>
      </c>
      <c r="N21">
        <v>2580000</v>
      </c>
      <c r="O21">
        <v>865340</v>
      </c>
      <c r="P21">
        <v>50.47</v>
      </c>
      <c r="Q21">
        <v>1714660</v>
      </c>
      <c r="R21">
        <v>138360405</v>
      </c>
      <c r="S21">
        <v>52500</v>
      </c>
      <c r="T21">
        <v>13.65</v>
      </c>
      <c r="U21">
        <v>13.6</v>
      </c>
      <c r="V21">
        <v>13.7</v>
      </c>
      <c r="W21">
        <v>-179.45</v>
      </c>
      <c r="X21">
        <v>-92.91</v>
      </c>
      <c r="Y21" t="s">
        <v>2</v>
      </c>
      <c r="Z21" t="s">
        <v>220</v>
      </c>
      <c r="AA21">
        <v>6722760</v>
      </c>
      <c r="AB21">
        <v>4656860</v>
      </c>
      <c r="AC21">
        <v>225.42</v>
      </c>
      <c r="AD21">
        <v>2065900</v>
      </c>
      <c r="AE21">
        <v>214709250</v>
      </c>
    </row>
    <row r="22" spans="1:31" x14ac:dyDescent="0.25">
      <c r="A22" t="s">
        <v>24</v>
      </c>
      <c r="B22">
        <v>888.05</v>
      </c>
      <c r="C22">
        <v>39.799999999999997</v>
      </c>
      <c r="F22">
        <v>17</v>
      </c>
      <c r="G22">
        <v>363.95</v>
      </c>
      <c r="H22">
        <v>363.05</v>
      </c>
      <c r="I22">
        <v>362.85</v>
      </c>
      <c r="J22">
        <v>116.1</v>
      </c>
      <c r="K22">
        <v>47.05</v>
      </c>
      <c r="L22" t="s">
        <v>1</v>
      </c>
      <c r="M22" t="s">
        <v>221</v>
      </c>
      <c r="N22">
        <v>1456425</v>
      </c>
      <c r="O22">
        <v>371365</v>
      </c>
      <c r="P22">
        <v>34.229999999999997</v>
      </c>
      <c r="Q22">
        <v>1085060</v>
      </c>
      <c r="R22">
        <v>132832245</v>
      </c>
      <c r="S22">
        <v>52600</v>
      </c>
      <c r="T22">
        <v>19.149999999999999</v>
      </c>
      <c r="U22">
        <v>19.05</v>
      </c>
      <c r="V22">
        <v>19.100000000000001</v>
      </c>
      <c r="W22">
        <v>-216.95</v>
      </c>
      <c r="X22">
        <v>-91.91</v>
      </c>
      <c r="Y22" t="s">
        <v>2</v>
      </c>
      <c r="Z22" t="s">
        <v>222</v>
      </c>
      <c r="AA22">
        <v>4163655</v>
      </c>
      <c r="AB22">
        <v>3087755</v>
      </c>
      <c r="AC22">
        <v>286.99</v>
      </c>
      <c r="AD22">
        <v>1075900</v>
      </c>
      <c r="AE22">
        <v>153958845</v>
      </c>
    </row>
    <row r="23" spans="1:31" x14ac:dyDescent="0.25">
      <c r="A23" t="s">
        <v>25</v>
      </c>
      <c r="B23">
        <v>49781</v>
      </c>
      <c r="C23">
        <v>19430</v>
      </c>
      <c r="F23">
        <v>18</v>
      </c>
      <c r="G23">
        <v>275.10000000000002</v>
      </c>
      <c r="H23">
        <v>274.55</v>
      </c>
      <c r="I23">
        <v>276.95</v>
      </c>
      <c r="J23">
        <v>75</v>
      </c>
      <c r="K23">
        <v>37.14</v>
      </c>
      <c r="L23" t="s">
        <v>1</v>
      </c>
      <c r="M23" t="s">
        <v>223</v>
      </c>
      <c r="N23">
        <v>2257455</v>
      </c>
      <c r="O23">
        <v>946855</v>
      </c>
      <c r="P23">
        <v>72.25</v>
      </c>
      <c r="Q23">
        <v>1310600</v>
      </c>
      <c r="R23">
        <v>140650095</v>
      </c>
      <c r="S23">
        <v>52700</v>
      </c>
      <c r="T23">
        <v>28.85</v>
      </c>
      <c r="U23">
        <v>28.75</v>
      </c>
      <c r="V23">
        <v>28.9</v>
      </c>
      <c r="W23">
        <v>-252.5</v>
      </c>
      <c r="X23">
        <v>-89.73</v>
      </c>
      <c r="Y23" t="s">
        <v>2</v>
      </c>
      <c r="Z23" t="s">
        <v>224</v>
      </c>
      <c r="AA23">
        <v>5202285</v>
      </c>
      <c r="AB23">
        <v>4644525</v>
      </c>
      <c r="AC23">
        <v>832.71</v>
      </c>
      <c r="AD23">
        <v>557760</v>
      </c>
      <c r="AE23">
        <v>132985290</v>
      </c>
    </row>
    <row r="24" spans="1:31" x14ac:dyDescent="0.25">
      <c r="A24" t="s">
        <v>26</v>
      </c>
      <c r="B24">
        <v>57000</v>
      </c>
      <c r="C24">
        <v>39500</v>
      </c>
      <c r="F24">
        <v>19</v>
      </c>
      <c r="G24">
        <v>191.95</v>
      </c>
      <c r="H24">
        <v>191.45</v>
      </c>
      <c r="I24">
        <v>192.15</v>
      </c>
      <c r="J24">
        <v>33.1</v>
      </c>
      <c r="K24">
        <v>20.81</v>
      </c>
      <c r="L24" t="s">
        <v>1</v>
      </c>
      <c r="M24" t="s">
        <v>225</v>
      </c>
      <c r="N24">
        <v>3252570</v>
      </c>
      <c r="O24">
        <v>2182680</v>
      </c>
      <c r="P24">
        <v>204.01</v>
      </c>
      <c r="Q24">
        <v>1069890</v>
      </c>
      <c r="R24">
        <v>169932465</v>
      </c>
      <c r="S24">
        <v>52800</v>
      </c>
      <c r="T24">
        <v>45.8</v>
      </c>
      <c r="U24">
        <v>45.7</v>
      </c>
      <c r="V24">
        <v>45.75</v>
      </c>
      <c r="W24">
        <v>-292.10000000000002</v>
      </c>
      <c r="X24">
        <v>-86.46</v>
      </c>
      <c r="Y24" t="s">
        <v>2</v>
      </c>
      <c r="Z24" t="s">
        <v>226</v>
      </c>
      <c r="AA24">
        <v>5313705</v>
      </c>
      <c r="AB24">
        <v>5038050</v>
      </c>
      <c r="AC24">
        <v>1827.67</v>
      </c>
      <c r="AD24">
        <v>275655</v>
      </c>
      <c r="AE24">
        <v>130461390</v>
      </c>
    </row>
    <row r="25" spans="1:31" x14ac:dyDescent="0.25">
      <c r="A25" t="s">
        <v>27</v>
      </c>
      <c r="B25">
        <v>0.9</v>
      </c>
      <c r="C25">
        <v>1.05</v>
      </c>
      <c r="F25">
        <v>20</v>
      </c>
      <c r="G25">
        <v>120.45</v>
      </c>
      <c r="H25">
        <v>120.25</v>
      </c>
      <c r="I25">
        <v>121.55</v>
      </c>
      <c r="J25">
        <v>-2.4</v>
      </c>
      <c r="K25">
        <v>-1.94</v>
      </c>
      <c r="L25" t="s">
        <v>1</v>
      </c>
      <c r="M25" t="s">
        <v>261</v>
      </c>
      <c r="N25">
        <v>5157690</v>
      </c>
      <c r="O25">
        <v>4574430</v>
      </c>
      <c r="P25">
        <v>784.29</v>
      </c>
      <c r="Q25">
        <v>583260</v>
      </c>
      <c r="R25">
        <v>180663360</v>
      </c>
      <c r="S25">
        <v>52900</v>
      </c>
      <c r="T25">
        <v>74.55</v>
      </c>
      <c r="U25">
        <v>74.45</v>
      </c>
      <c r="V25">
        <v>74.55</v>
      </c>
      <c r="W25">
        <v>-336.85</v>
      </c>
      <c r="X25">
        <v>-81.88</v>
      </c>
      <c r="Y25" t="s">
        <v>2</v>
      </c>
      <c r="Z25" t="s">
        <v>262</v>
      </c>
      <c r="AA25">
        <v>5628525</v>
      </c>
      <c r="AB25">
        <v>5503890</v>
      </c>
      <c r="AC25">
        <v>4416.01</v>
      </c>
      <c r="AD25">
        <v>124635</v>
      </c>
      <c r="AE25">
        <v>91073415</v>
      </c>
    </row>
    <row r="26" spans="1:31" x14ac:dyDescent="0.25">
      <c r="A26" t="s">
        <v>28</v>
      </c>
      <c r="B26">
        <v>59152340</v>
      </c>
      <c r="C26">
        <v>56634883</v>
      </c>
      <c r="F26">
        <v>21</v>
      </c>
      <c r="G26">
        <v>74.7</v>
      </c>
      <c r="H26">
        <v>74.55</v>
      </c>
      <c r="I26">
        <v>74.75</v>
      </c>
      <c r="J26">
        <v>-23.1</v>
      </c>
      <c r="K26">
        <v>-23.61</v>
      </c>
      <c r="L26" t="s">
        <v>1</v>
      </c>
      <c r="M26" t="s">
        <v>329</v>
      </c>
      <c r="N26">
        <v>8001525</v>
      </c>
      <c r="O26">
        <v>5204125</v>
      </c>
      <c r="P26">
        <v>186.03</v>
      </c>
      <c r="Q26">
        <v>2797400</v>
      </c>
      <c r="R26">
        <v>281709390</v>
      </c>
      <c r="S26">
        <v>53000</v>
      </c>
      <c r="T26">
        <v>129.30000000000001</v>
      </c>
      <c r="U26">
        <v>129.05000000000001</v>
      </c>
      <c r="V26">
        <v>129.5</v>
      </c>
      <c r="W26">
        <v>-351.2</v>
      </c>
      <c r="X26">
        <v>-73.06</v>
      </c>
      <c r="Y26" t="s">
        <v>2</v>
      </c>
      <c r="Z26" t="s">
        <v>330</v>
      </c>
      <c r="AA26">
        <v>2882895</v>
      </c>
      <c r="AB26">
        <v>2568975</v>
      </c>
      <c r="AC26">
        <v>818.35</v>
      </c>
      <c r="AD26">
        <v>313920</v>
      </c>
      <c r="AE26">
        <v>59092980</v>
      </c>
    </row>
    <row r="27" spans="1:31" x14ac:dyDescent="0.25">
      <c r="A27" t="s">
        <v>29</v>
      </c>
      <c r="B27">
        <v>47500</v>
      </c>
      <c r="C27">
        <v>47000</v>
      </c>
      <c r="F27">
        <v>22</v>
      </c>
      <c r="G27">
        <v>46.75</v>
      </c>
      <c r="H27">
        <v>46.7</v>
      </c>
      <c r="I27">
        <v>47.35</v>
      </c>
      <c r="J27">
        <v>-28.75</v>
      </c>
      <c r="K27">
        <v>-37.78</v>
      </c>
      <c r="L27" t="s">
        <v>1</v>
      </c>
      <c r="M27" t="s">
        <v>331</v>
      </c>
      <c r="N27">
        <v>3760800</v>
      </c>
      <c r="O27">
        <v>3035115</v>
      </c>
      <c r="P27">
        <v>418.24</v>
      </c>
      <c r="Q27">
        <v>725685</v>
      </c>
      <c r="R27">
        <v>129941415</v>
      </c>
      <c r="S27">
        <v>53100</v>
      </c>
      <c r="T27">
        <v>201.85</v>
      </c>
      <c r="U27">
        <v>201.4</v>
      </c>
      <c r="V27">
        <v>201.75</v>
      </c>
      <c r="W27">
        <v>-345.65</v>
      </c>
      <c r="X27">
        <v>-63.14</v>
      </c>
      <c r="Y27" t="s">
        <v>2</v>
      </c>
      <c r="Z27" t="s">
        <v>332</v>
      </c>
      <c r="AA27">
        <v>538575</v>
      </c>
      <c r="AB27">
        <v>499350</v>
      </c>
      <c r="AC27">
        <v>1273.04</v>
      </c>
      <c r="AD27">
        <v>39225</v>
      </c>
      <c r="AE27">
        <v>12367275</v>
      </c>
    </row>
    <row r="28" spans="1:31" x14ac:dyDescent="0.25">
      <c r="A28" t="s">
        <v>30</v>
      </c>
      <c r="B28">
        <v>470.15</v>
      </c>
      <c r="C28">
        <v>39.799999999999997</v>
      </c>
      <c r="F28">
        <v>23</v>
      </c>
      <c r="G28">
        <v>29.9</v>
      </c>
      <c r="H28">
        <v>29.85</v>
      </c>
      <c r="I28">
        <v>29.9</v>
      </c>
      <c r="J28">
        <v>-29.45</v>
      </c>
      <c r="K28">
        <v>-49.62</v>
      </c>
      <c r="L28" t="s">
        <v>1</v>
      </c>
      <c r="M28" t="s">
        <v>333</v>
      </c>
      <c r="N28">
        <v>4136220</v>
      </c>
      <c r="O28">
        <v>2976620</v>
      </c>
      <c r="P28">
        <v>256.69</v>
      </c>
      <c r="Q28">
        <v>1159600</v>
      </c>
      <c r="R28">
        <v>135682935</v>
      </c>
      <c r="S28">
        <v>53200</v>
      </c>
      <c r="T28">
        <v>285</v>
      </c>
      <c r="U28">
        <v>284.5</v>
      </c>
      <c r="V28">
        <v>285</v>
      </c>
      <c r="W28">
        <v>-350.75</v>
      </c>
      <c r="X28">
        <v>-55.17</v>
      </c>
      <c r="Y28" t="s">
        <v>2</v>
      </c>
      <c r="Z28" t="s">
        <v>334</v>
      </c>
      <c r="AA28">
        <v>308730</v>
      </c>
      <c r="AB28">
        <v>288510</v>
      </c>
      <c r="AC28">
        <v>1426.85</v>
      </c>
      <c r="AD28">
        <v>20220</v>
      </c>
      <c r="AE28">
        <v>7010310</v>
      </c>
    </row>
    <row r="29" spans="1:31" x14ac:dyDescent="0.25">
      <c r="F29">
        <v>24</v>
      </c>
      <c r="G29">
        <v>20.05</v>
      </c>
      <c r="H29">
        <v>19.95</v>
      </c>
      <c r="I29">
        <v>20.3</v>
      </c>
      <c r="J29">
        <v>-26.45</v>
      </c>
      <c r="K29">
        <v>-56.58</v>
      </c>
      <c r="L29" t="s">
        <v>1</v>
      </c>
      <c r="M29" t="s">
        <v>335</v>
      </c>
      <c r="N29">
        <v>3472755</v>
      </c>
      <c r="O29">
        <v>2758215</v>
      </c>
      <c r="P29">
        <v>386.01</v>
      </c>
      <c r="Q29">
        <v>714540</v>
      </c>
      <c r="R29">
        <v>113088135</v>
      </c>
      <c r="S29">
        <v>53300</v>
      </c>
      <c r="T29">
        <v>375.5</v>
      </c>
      <c r="U29">
        <v>374.7</v>
      </c>
      <c r="V29">
        <v>375.55</v>
      </c>
      <c r="W29">
        <v>-344.65</v>
      </c>
      <c r="X29">
        <v>-47.85</v>
      </c>
      <c r="Y29" t="s">
        <v>2</v>
      </c>
      <c r="Z29" t="s">
        <v>336</v>
      </c>
      <c r="AA29">
        <v>114255</v>
      </c>
      <c r="AB29">
        <v>107835</v>
      </c>
      <c r="AC29">
        <v>1679.67</v>
      </c>
      <c r="AD29">
        <v>6420</v>
      </c>
      <c r="AE29">
        <v>1906245</v>
      </c>
    </row>
    <row r="30" spans="1:31" x14ac:dyDescent="0.25">
      <c r="F30">
        <v>25</v>
      </c>
      <c r="G30">
        <v>13.4</v>
      </c>
      <c r="H30">
        <v>13.35</v>
      </c>
      <c r="I30">
        <v>13.25</v>
      </c>
      <c r="J30">
        <v>-22.65</v>
      </c>
      <c r="K30">
        <v>-63.09</v>
      </c>
      <c r="L30" t="s">
        <v>1</v>
      </c>
      <c r="M30" t="s">
        <v>337</v>
      </c>
      <c r="N30">
        <v>3021450</v>
      </c>
      <c r="O30">
        <v>2424735</v>
      </c>
      <c r="P30">
        <v>406.35</v>
      </c>
      <c r="Q30">
        <v>596715</v>
      </c>
      <c r="R30">
        <v>104384760</v>
      </c>
      <c r="S30">
        <v>53400</v>
      </c>
      <c r="T30">
        <v>469.35</v>
      </c>
      <c r="U30">
        <v>468.4</v>
      </c>
      <c r="V30">
        <v>467</v>
      </c>
      <c r="W30">
        <v>-351.05</v>
      </c>
      <c r="X30">
        <v>-42.91</v>
      </c>
      <c r="Y30" t="s">
        <v>2</v>
      </c>
      <c r="Z30" t="s">
        <v>338</v>
      </c>
      <c r="AA30">
        <v>81135</v>
      </c>
      <c r="AB30">
        <v>70485</v>
      </c>
      <c r="AC30">
        <v>661.83</v>
      </c>
      <c r="AD30">
        <v>10650</v>
      </c>
      <c r="AE30">
        <v>818085</v>
      </c>
    </row>
    <row r="31" spans="1:31" x14ac:dyDescent="0.25">
      <c r="F31">
        <v>26</v>
      </c>
      <c r="G31">
        <v>9.15</v>
      </c>
      <c r="H31">
        <v>9.1</v>
      </c>
      <c r="I31">
        <v>9.25</v>
      </c>
      <c r="J31">
        <v>-18.899999999999999</v>
      </c>
      <c r="K31">
        <v>-67.14</v>
      </c>
      <c r="L31" t="s">
        <v>1</v>
      </c>
      <c r="M31" t="s">
        <v>339</v>
      </c>
      <c r="N31">
        <v>5225505</v>
      </c>
      <c r="O31">
        <v>2561405</v>
      </c>
      <c r="P31">
        <v>96.15</v>
      </c>
      <c r="Q31">
        <v>2664100</v>
      </c>
      <c r="R31">
        <v>174985440</v>
      </c>
      <c r="S31">
        <v>53500</v>
      </c>
      <c r="T31">
        <v>564.79999999999995</v>
      </c>
      <c r="U31">
        <v>562.95000000000005</v>
      </c>
      <c r="V31">
        <v>565</v>
      </c>
      <c r="W31">
        <v>-340.3</v>
      </c>
      <c r="X31">
        <v>-37.590000000000003</v>
      </c>
      <c r="Y31" t="s">
        <v>2</v>
      </c>
      <c r="Z31" t="s">
        <v>340</v>
      </c>
      <c r="AA31">
        <v>103770</v>
      </c>
      <c r="AB31">
        <v>22845</v>
      </c>
      <c r="AC31">
        <v>28.23</v>
      </c>
      <c r="AD31">
        <v>80925</v>
      </c>
      <c r="AE31">
        <v>1453695</v>
      </c>
    </row>
    <row r="32" spans="1:31" x14ac:dyDescent="0.25">
      <c r="F32">
        <v>27</v>
      </c>
      <c r="G32">
        <v>6.15</v>
      </c>
      <c r="H32">
        <v>6.1</v>
      </c>
      <c r="I32">
        <v>6.15</v>
      </c>
      <c r="J32">
        <v>-15.5</v>
      </c>
      <c r="K32">
        <v>-71.59</v>
      </c>
      <c r="L32" t="s">
        <v>1</v>
      </c>
      <c r="M32" t="s">
        <v>341</v>
      </c>
      <c r="N32">
        <v>2184525</v>
      </c>
      <c r="O32">
        <v>1395975</v>
      </c>
      <c r="P32">
        <v>177.03</v>
      </c>
      <c r="Q32">
        <v>788550</v>
      </c>
      <c r="R32">
        <v>90766665</v>
      </c>
      <c r="S32">
        <v>53600</v>
      </c>
      <c r="T32">
        <v>662.35</v>
      </c>
      <c r="U32">
        <v>659.8</v>
      </c>
      <c r="V32">
        <v>661.7</v>
      </c>
      <c r="W32">
        <v>-315.60000000000002</v>
      </c>
      <c r="X32">
        <v>-32.29</v>
      </c>
      <c r="Y32" t="s">
        <v>2</v>
      </c>
      <c r="Z32" t="s">
        <v>342</v>
      </c>
      <c r="AA32">
        <v>9525</v>
      </c>
      <c r="AB32">
        <v>6870</v>
      </c>
      <c r="AC32">
        <v>258.76</v>
      </c>
      <c r="AD32">
        <v>2655</v>
      </c>
      <c r="AE32">
        <v>143280</v>
      </c>
    </row>
    <row r="33" spans="6:31" x14ac:dyDescent="0.25">
      <c r="F33">
        <v>28</v>
      </c>
      <c r="G33">
        <v>4.3499999999999996</v>
      </c>
      <c r="H33">
        <v>4.25</v>
      </c>
      <c r="I33">
        <v>4.3</v>
      </c>
      <c r="J33">
        <v>-12.25</v>
      </c>
      <c r="K33">
        <v>-74.02</v>
      </c>
      <c r="L33" t="s">
        <v>1</v>
      </c>
      <c r="M33" t="s">
        <v>343</v>
      </c>
      <c r="N33">
        <v>2300325</v>
      </c>
      <c r="O33">
        <v>1338360</v>
      </c>
      <c r="P33">
        <v>139.13</v>
      </c>
      <c r="Q33">
        <v>961965</v>
      </c>
      <c r="R33">
        <v>78967275</v>
      </c>
      <c r="S33">
        <v>53700</v>
      </c>
      <c r="T33">
        <v>758.95</v>
      </c>
      <c r="U33">
        <v>756.7</v>
      </c>
      <c r="V33">
        <v>759.15</v>
      </c>
      <c r="W33">
        <v>-320.45</v>
      </c>
      <c r="X33">
        <v>-29.68</v>
      </c>
      <c r="Y33" t="s">
        <v>2</v>
      </c>
      <c r="Z33" t="s">
        <v>344</v>
      </c>
      <c r="AA33">
        <v>8400</v>
      </c>
      <c r="AB33">
        <v>5910</v>
      </c>
      <c r="AC33">
        <v>237.35</v>
      </c>
      <c r="AD33">
        <v>2490</v>
      </c>
      <c r="AE33">
        <v>105825</v>
      </c>
    </row>
    <row r="34" spans="6:31" x14ac:dyDescent="0.25">
      <c r="F34">
        <v>29</v>
      </c>
      <c r="G34">
        <v>3.15</v>
      </c>
      <c r="H34">
        <v>3.1</v>
      </c>
      <c r="I34">
        <v>3.15</v>
      </c>
      <c r="J34">
        <v>-9.3000000000000007</v>
      </c>
      <c r="K34">
        <v>-74.7</v>
      </c>
      <c r="L34" t="s">
        <v>1</v>
      </c>
      <c r="M34" t="s">
        <v>345</v>
      </c>
      <c r="N34">
        <v>2261610</v>
      </c>
      <c r="O34">
        <v>1175810</v>
      </c>
      <c r="P34">
        <v>108.29</v>
      </c>
      <c r="Q34">
        <v>1085800</v>
      </c>
      <c r="R34">
        <v>80170605</v>
      </c>
      <c r="S34">
        <v>53800</v>
      </c>
      <c r="T34">
        <v>858.9</v>
      </c>
      <c r="U34">
        <v>856.25</v>
      </c>
      <c r="V34">
        <v>868.65</v>
      </c>
      <c r="W34">
        <v>-366.65</v>
      </c>
      <c r="X34">
        <v>-29.68</v>
      </c>
      <c r="Y34" t="s">
        <v>2</v>
      </c>
      <c r="Z34" t="s">
        <v>346</v>
      </c>
      <c r="AA34">
        <v>2595</v>
      </c>
      <c r="AB34">
        <v>1545</v>
      </c>
      <c r="AC34">
        <v>147.13999999999999</v>
      </c>
      <c r="AD34">
        <v>1050</v>
      </c>
      <c r="AE34">
        <v>33345</v>
      </c>
    </row>
    <row r="35" spans="6:31" x14ac:dyDescent="0.25">
      <c r="F35">
        <v>30</v>
      </c>
      <c r="G35">
        <v>2.5499999999999998</v>
      </c>
      <c r="H35">
        <v>2.5</v>
      </c>
      <c r="I35">
        <v>2.5499999999999998</v>
      </c>
      <c r="J35">
        <v>-6.75</v>
      </c>
      <c r="K35">
        <v>-72.58</v>
      </c>
      <c r="L35" t="s">
        <v>1</v>
      </c>
      <c r="M35" t="s">
        <v>347</v>
      </c>
      <c r="N35">
        <v>2111715</v>
      </c>
      <c r="O35">
        <v>1398345</v>
      </c>
      <c r="P35">
        <v>196.02</v>
      </c>
      <c r="Q35">
        <v>713370</v>
      </c>
      <c r="R35">
        <v>64717500</v>
      </c>
      <c r="S35">
        <v>53900</v>
      </c>
      <c r="T35">
        <v>959.15</v>
      </c>
      <c r="U35">
        <v>955.55</v>
      </c>
      <c r="V35">
        <v>977.6</v>
      </c>
      <c r="W35">
        <v>-298.8</v>
      </c>
      <c r="X35">
        <v>-23.41</v>
      </c>
      <c r="Y35" t="s">
        <v>2</v>
      </c>
      <c r="Z35" t="s">
        <v>348</v>
      </c>
      <c r="AA35">
        <v>1545</v>
      </c>
      <c r="AB35">
        <v>240</v>
      </c>
      <c r="AC35">
        <v>18.39</v>
      </c>
      <c r="AD35">
        <v>1305</v>
      </c>
      <c r="AE35">
        <v>12120</v>
      </c>
    </row>
    <row r="36" spans="6:31" x14ac:dyDescent="0.25">
      <c r="F36">
        <v>31</v>
      </c>
      <c r="G36">
        <v>2.0499999999999998</v>
      </c>
      <c r="H36">
        <v>2</v>
      </c>
      <c r="I36">
        <v>2.0499999999999998</v>
      </c>
      <c r="J36">
        <v>-5.45</v>
      </c>
      <c r="K36">
        <v>-72.67</v>
      </c>
      <c r="L36" t="s">
        <v>1</v>
      </c>
      <c r="M36" t="s">
        <v>349</v>
      </c>
      <c r="N36">
        <v>6198105</v>
      </c>
      <c r="O36">
        <v>2431065</v>
      </c>
      <c r="P36">
        <v>64.540000000000006</v>
      </c>
      <c r="Q36">
        <v>3767040</v>
      </c>
      <c r="R36">
        <v>117493875</v>
      </c>
      <c r="S36">
        <v>54000</v>
      </c>
      <c r="T36">
        <v>1058.3</v>
      </c>
      <c r="U36">
        <v>1055.0999999999999</v>
      </c>
      <c r="V36">
        <v>1056.6500000000001</v>
      </c>
      <c r="W36">
        <v>-319.7</v>
      </c>
      <c r="X36">
        <v>-23.23</v>
      </c>
      <c r="Y36" t="s">
        <v>2</v>
      </c>
      <c r="Z36" t="s">
        <v>350</v>
      </c>
      <c r="AA36">
        <v>12900</v>
      </c>
      <c r="AB36">
        <v>-3210</v>
      </c>
      <c r="AC36">
        <v>-19.93</v>
      </c>
      <c r="AD36">
        <v>16110</v>
      </c>
      <c r="AE36">
        <v>77430</v>
      </c>
    </row>
    <row r="37" spans="6:31" x14ac:dyDescent="0.25">
      <c r="F37">
        <v>32</v>
      </c>
      <c r="G37">
        <v>1.6</v>
      </c>
      <c r="H37">
        <v>1.55</v>
      </c>
      <c r="I37">
        <v>1.6</v>
      </c>
      <c r="J37">
        <v>-3.95</v>
      </c>
      <c r="K37">
        <v>-71.17</v>
      </c>
      <c r="L37" t="s">
        <v>1</v>
      </c>
      <c r="M37" t="s">
        <v>351</v>
      </c>
      <c r="N37">
        <v>1721775</v>
      </c>
      <c r="O37">
        <v>1020555</v>
      </c>
      <c r="P37">
        <v>145.54</v>
      </c>
      <c r="Q37">
        <v>701220</v>
      </c>
      <c r="R37">
        <v>37801260</v>
      </c>
      <c r="S37">
        <v>54100</v>
      </c>
      <c r="T37">
        <v>1159.1500000000001</v>
      </c>
      <c r="U37">
        <v>1149.3499999999999</v>
      </c>
      <c r="V37">
        <v>1148.2</v>
      </c>
      <c r="W37">
        <v>-337.15</v>
      </c>
      <c r="X37">
        <v>-22.7</v>
      </c>
      <c r="Y37" t="s">
        <v>2</v>
      </c>
      <c r="Z37" t="s">
        <v>352</v>
      </c>
      <c r="AA37">
        <v>540</v>
      </c>
      <c r="AB37">
        <v>495</v>
      </c>
      <c r="AC37">
        <v>1100</v>
      </c>
      <c r="AD37">
        <v>45</v>
      </c>
      <c r="AE37">
        <v>2085</v>
      </c>
    </row>
    <row r="38" spans="6:31" x14ac:dyDescent="0.25">
      <c r="F38">
        <v>33</v>
      </c>
      <c r="G38">
        <v>1.4</v>
      </c>
      <c r="H38">
        <v>1.35</v>
      </c>
      <c r="I38">
        <v>1.35</v>
      </c>
      <c r="J38">
        <v>-3</v>
      </c>
      <c r="K38">
        <v>-68.97</v>
      </c>
      <c r="L38" t="s">
        <v>1</v>
      </c>
      <c r="M38" t="s">
        <v>353</v>
      </c>
      <c r="N38">
        <v>1983030</v>
      </c>
      <c r="O38">
        <v>1057275</v>
      </c>
      <c r="P38">
        <v>114.21</v>
      </c>
      <c r="Q38">
        <v>925755</v>
      </c>
      <c r="R38">
        <v>39926520</v>
      </c>
      <c r="S38">
        <v>54200</v>
      </c>
      <c r="T38">
        <v>1259.8</v>
      </c>
      <c r="U38">
        <v>1251.05</v>
      </c>
      <c r="V38">
        <v>1260</v>
      </c>
      <c r="W38">
        <v>-324.64999999999998</v>
      </c>
      <c r="X38">
        <v>-20.49</v>
      </c>
      <c r="Y38" t="s">
        <v>2</v>
      </c>
      <c r="Z38" t="s">
        <v>354</v>
      </c>
      <c r="AA38">
        <v>315</v>
      </c>
      <c r="AB38">
        <v>300</v>
      </c>
      <c r="AC38">
        <v>2000</v>
      </c>
      <c r="AD38">
        <v>15</v>
      </c>
      <c r="AE38">
        <v>2040</v>
      </c>
    </row>
    <row r="39" spans="6:31" x14ac:dyDescent="0.25">
      <c r="F39">
        <v>34</v>
      </c>
      <c r="G39">
        <v>1.25</v>
      </c>
      <c r="H39">
        <v>1.2</v>
      </c>
      <c r="I39">
        <v>1.2</v>
      </c>
      <c r="J39">
        <v>-2.35</v>
      </c>
      <c r="K39">
        <v>-66.2</v>
      </c>
      <c r="L39" t="s">
        <v>1</v>
      </c>
      <c r="M39" t="s">
        <v>355</v>
      </c>
      <c r="N39">
        <v>1552815</v>
      </c>
      <c r="O39">
        <v>899880</v>
      </c>
      <c r="P39">
        <v>137.82</v>
      </c>
      <c r="Q39">
        <v>652935</v>
      </c>
      <c r="R39">
        <v>32114595</v>
      </c>
      <c r="S39">
        <v>54300</v>
      </c>
      <c r="T39">
        <v>1364.8</v>
      </c>
      <c r="U39">
        <v>1348.3</v>
      </c>
      <c r="V39">
        <v>1684.15</v>
      </c>
      <c r="W39">
        <v>0</v>
      </c>
      <c r="X39">
        <v>0</v>
      </c>
      <c r="Y39" t="s">
        <v>2</v>
      </c>
      <c r="Z39" t="s">
        <v>356</v>
      </c>
      <c r="AA39">
        <v>0</v>
      </c>
      <c r="AB39">
        <v>0</v>
      </c>
      <c r="AC39">
        <v>0</v>
      </c>
      <c r="AD39">
        <v>0</v>
      </c>
      <c r="AE39">
        <v>0</v>
      </c>
    </row>
    <row r="40" spans="6:31" x14ac:dyDescent="0.25">
      <c r="F40">
        <v>35</v>
      </c>
      <c r="G40">
        <v>1.2</v>
      </c>
      <c r="H40">
        <v>1.1499999999999999</v>
      </c>
      <c r="I40">
        <v>1.1499999999999999</v>
      </c>
      <c r="J40">
        <v>-1.85</v>
      </c>
      <c r="K40">
        <v>-61.67</v>
      </c>
      <c r="L40" t="s">
        <v>1</v>
      </c>
      <c r="M40" t="s">
        <v>357</v>
      </c>
      <c r="N40">
        <v>1845210</v>
      </c>
      <c r="O40">
        <v>1528860</v>
      </c>
      <c r="P40">
        <v>483.28</v>
      </c>
      <c r="Q40">
        <v>316350</v>
      </c>
      <c r="R40">
        <v>31055985</v>
      </c>
      <c r="S40">
        <v>54400</v>
      </c>
      <c r="T40">
        <v>1460.2</v>
      </c>
      <c r="U40">
        <v>1445.9</v>
      </c>
      <c r="V40">
        <v>1517.45</v>
      </c>
      <c r="W40">
        <v>-266.39999999999998</v>
      </c>
      <c r="X40">
        <v>-14.93</v>
      </c>
      <c r="Y40" t="s">
        <v>2</v>
      </c>
      <c r="Z40" t="s">
        <v>358</v>
      </c>
      <c r="AA40">
        <v>45</v>
      </c>
      <c r="AB40">
        <v>45</v>
      </c>
      <c r="AC40">
        <v>0</v>
      </c>
      <c r="AD40">
        <v>0</v>
      </c>
      <c r="AE40">
        <v>60</v>
      </c>
    </row>
    <row r="41" spans="6:31" x14ac:dyDescent="0.25">
      <c r="F41">
        <v>36</v>
      </c>
      <c r="G41">
        <v>1.1499999999999999</v>
      </c>
      <c r="H41">
        <v>1.1000000000000001</v>
      </c>
      <c r="I41">
        <v>1.1499999999999999</v>
      </c>
      <c r="J41">
        <v>-1.6</v>
      </c>
      <c r="K41">
        <v>-58.18</v>
      </c>
      <c r="L41" t="s">
        <v>1</v>
      </c>
      <c r="M41" t="s">
        <v>359</v>
      </c>
      <c r="N41">
        <v>6345705</v>
      </c>
      <c r="O41">
        <v>4046325</v>
      </c>
      <c r="P41">
        <v>175.97</v>
      </c>
      <c r="Q41">
        <v>2299380</v>
      </c>
      <c r="R41">
        <v>72202410</v>
      </c>
      <c r="S41">
        <v>54500</v>
      </c>
      <c r="T41">
        <v>1561.35</v>
      </c>
      <c r="U41">
        <v>1546.35</v>
      </c>
      <c r="V41">
        <v>1559.35</v>
      </c>
      <c r="W41">
        <v>-319.5</v>
      </c>
      <c r="X41">
        <v>-17.010000000000002</v>
      </c>
      <c r="Y41" t="s">
        <v>2</v>
      </c>
      <c r="Z41" t="s">
        <v>360</v>
      </c>
      <c r="AA41">
        <v>990</v>
      </c>
      <c r="AB41">
        <v>-135</v>
      </c>
      <c r="AC41">
        <v>-12</v>
      </c>
      <c r="AD41">
        <v>1125</v>
      </c>
      <c r="AE41">
        <v>2730</v>
      </c>
    </row>
    <row r="42" spans="6:31" x14ac:dyDescent="0.25">
      <c r="F42">
        <v>37</v>
      </c>
      <c r="G42">
        <v>1</v>
      </c>
      <c r="H42">
        <v>0.95</v>
      </c>
      <c r="I42">
        <v>1</v>
      </c>
      <c r="J42">
        <v>-1.4</v>
      </c>
      <c r="K42">
        <v>-58.33</v>
      </c>
      <c r="L42" t="s">
        <v>1</v>
      </c>
      <c r="M42" t="s">
        <v>361</v>
      </c>
      <c r="N42">
        <v>1145775</v>
      </c>
      <c r="O42">
        <v>940980</v>
      </c>
      <c r="P42">
        <v>459.47</v>
      </c>
      <c r="Q42">
        <v>204795</v>
      </c>
      <c r="R42">
        <v>18812145</v>
      </c>
      <c r="S42">
        <v>54600</v>
      </c>
      <c r="T42">
        <v>1659.55</v>
      </c>
      <c r="U42">
        <v>1649.9</v>
      </c>
      <c r="V42">
        <v>1625.8</v>
      </c>
      <c r="W42">
        <v>-357.7</v>
      </c>
      <c r="X42">
        <v>-18.03</v>
      </c>
      <c r="Y42" t="s">
        <v>2</v>
      </c>
      <c r="Z42" t="s">
        <v>362</v>
      </c>
      <c r="AA42">
        <v>15</v>
      </c>
      <c r="AB42">
        <v>15</v>
      </c>
      <c r="AC42">
        <v>0</v>
      </c>
      <c r="AD42">
        <v>0</v>
      </c>
      <c r="AE42">
        <v>60</v>
      </c>
    </row>
    <row r="43" spans="6:31" x14ac:dyDescent="0.25">
      <c r="F43">
        <v>38</v>
      </c>
      <c r="G43">
        <v>0.95</v>
      </c>
      <c r="H43">
        <v>0.9</v>
      </c>
      <c r="I43">
        <v>0.95</v>
      </c>
      <c r="J43">
        <v>-1.25</v>
      </c>
      <c r="K43">
        <v>-56.82</v>
      </c>
      <c r="L43" t="s">
        <v>1</v>
      </c>
      <c r="M43" t="s">
        <v>363</v>
      </c>
      <c r="N43">
        <v>967275</v>
      </c>
      <c r="O43">
        <v>791640</v>
      </c>
      <c r="P43">
        <v>450.73</v>
      </c>
      <c r="Q43">
        <v>175635</v>
      </c>
      <c r="R43">
        <v>15557955</v>
      </c>
      <c r="S43">
        <v>54700</v>
      </c>
      <c r="T43">
        <v>1760.65</v>
      </c>
      <c r="U43">
        <v>1747.3</v>
      </c>
      <c r="V43">
        <v>2269.15</v>
      </c>
      <c r="W43">
        <v>185.7</v>
      </c>
      <c r="X43">
        <v>8.91</v>
      </c>
      <c r="Y43" t="s">
        <v>2</v>
      </c>
      <c r="Z43" t="s">
        <v>364</v>
      </c>
      <c r="AA43">
        <v>105</v>
      </c>
      <c r="AB43">
        <v>105</v>
      </c>
      <c r="AC43">
        <v>0</v>
      </c>
      <c r="AD43">
        <v>0</v>
      </c>
      <c r="AE43">
        <v>315</v>
      </c>
    </row>
    <row r="44" spans="6:31" x14ac:dyDescent="0.25">
      <c r="F44">
        <v>39</v>
      </c>
      <c r="G44">
        <v>0.85</v>
      </c>
      <c r="H44">
        <v>0.8</v>
      </c>
      <c r="I44">
        <v>0.8</v>
      </c>
      <c r="J44">
        <v>-1.25</v>
      </c>
      <c r="K44">
        <v>-60.98</v>
      </c>
      <c r="L44" t="s">
        <v>1</v>
      </c>
      <c r="M44" t="s">
        <v>491</v>
      </c>
      <c r="N44">
        <v>1307100</v>
      </c>
      <c r="O44">
        <v>1120035</v>
      </c>
      <c r="P44">
        <v>598.74</v>
      </c>
      <c r="Q44">
        <v>187065</v>
      </c>
      <c r="R44">
        <v>14792145</v>
      </c>
      <c r="S44">
        <v>54800</v>
      </c>
      <c r="T44">
        <v>1873.2</v>
      </c>
      <c r="U44">
        <v>1842.4</v>
      </c>
      <c r="V44">
        <v>2183.4</v>
      </c>
      <c r="W44">
        <v>0</v>
      </c>
      <c r="X44">
        <v>0</v>
      </c>
      <c r="Y44" t="s">
        <v>2</v>
      </c>
      <c r="Z44" t="s">
        <v>492</v>
      </c>
      <c r="AA44">
        <v>0</v>
      </c>
      <c r="AB44">
        <v>0</v>
      </c>
      <c r="AC44">
        <v>0</v>
      </c>
      <c r="AD44">
        <v>0</v>
      </c>
      <c r="AE44">
        <v>0</v>
      </c>
    </row>
    <row r="45" spans="6:31" x14ac:dyDescent="0.25">
      <c r="F45">
        <v>40</v>
      </c>
      <c r="G45">
        <v>0.8</v>
      </c>
      <c r="H45">
        <v>0.75</v>
      </c>
      <c r="I45">
        <v>0.8</v>
      </c>
      <c r="J45">
        <v>0.75</v>
      </c>
      <c r="K45">
        <v>1500</v>
      </c>
      <c r="L45" t="s">
        <v>1</v>
      </c>
      <c r="M45" t="s">
        <v>493</v>
      </c>
      <c r="N45">
        <v>566805</v>
      </c>
      <c r="O45">
        <v>566805</v>
      </c>
      <c r="P45">
        <v>0</v>
      </c>
      <c r="Q45">
        <v>0</v>
      </c>
      <c r="R45">
        <v>9149520</v>
      </c>
      <c r="S45">
        <v>54900</v>
      </c>
      <c r="T45">
        <v>2121</v>
      </c>
      <c r="U45">
        <v>1837.95</v>
      </c>
      <c r="V45">
        <v>2283.35</v>
      </c>
      <c r="W45">
        <v>0</v>
      </c>
      <c r="X45">
        <v>0</v>
      </c>
      <c r="Y45" t="s">
        <v>2</v>
      </c>
      <c r="Z45" t="s">
        <v>494</v>
      </c>
      <c r="AA45">
        <v>0</v>
      </c>
      <c r="AB45">
        <v>0</v>
      </c>
      <c r="AC45">
        <v>0</v>
      </c>
      <c r="AD45">
        <v>0</v>
      </c>
      <c r="AE45">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AE098-6E5C-4B5F-A019-765830534FEA}">
  <dimension ref="A1:AE45"/>
  <sheetViews>
    <sheetView workbookViewId="0">
      <selection sqref="A1:C28"/>
    </sheetView>
  </sheetViews>
  <sheetFormatPr defaultRowHeight="15" x14ac:dyDescent="0.25"/>
  <cols>
    <col min="2" max="2" width="15.5703125" bestFit="1" customWidth="1"/>
  </cols>
  <sheetData>
    <row r="1" spans="1:31" x14ac:dyDescent="0.25">
      <c r="A1" t="s">
        <v>0</v>
      </c>
      <c r="B1" t="s">
        <v>1</v>
      </c>
      <c r="C1" t="s">
        <v>2</v>
      </c>
      <c r="N1" t="s">
        <v>148</v>
      </c>
      <c r="O1" t="s">
        <v>149</v>
      </c>
      <c r="P1" t="s">
        <v>150</v>
      </c>
    </row>
    <row r="2" spans="1:31" x14ac:dyDescent="0.25">
      <c r="A2" t="s">
        <v>3</v>
      </c>
      <c r="B2" t="s">
        <v>76</v>
      </c>
      <c r="N2">
        <v>78575.19</v>
      </c>
      <c r="O2">
        <v>14.25</v>
      </c>
      <c r="P2">
        <v>1.1717149978131227</v>
      </c>
    </row>
    <row r="3" spans="1:31" x14ac:dyDescent="0.25">
      <c r="A3" t="s">
        <v>5</v>
      </c>
      <c r="B3" s="1">
        <v>45427</v>
      </c>
    </row>
    <row r="4" spans="1:31" x14ac:dyDescent="0.25">
      <c r="A4" t="s">
        <v>6</v>
      </c>
      <c r="B4" s="2">
        <f ca="1">NOW()</f>
        <v>45469.571693981481</v>
      </c>
      <c r="G4" t="s">
        <v>151</v>
      </c>
      <c r="H4" t="s">
        <v>152</v>
      </c>
      <c r="I4" t="s">
        <v>153</v>
      </c>
      <c r="J4" t="s">
        <v>154</v>
      </c>
      <c r="K4" t="s">
        <v>155</v>
      </c>
      <c r="L4" t="s">
        <v>156</v>
      </c>
      <c r="M4" t="s">
        <v>157</v>
      </c>
      <c r="N4" t="s">
        <v>158</v>
      </c>
      <c r="O4" t="s">
        <v>159</v>
      </c>
      <c r="P4" t="s">
        <v>160</v>
      </c>
      <c r="Q4" t="s">
        <v>161</v>
      </c>
      <c r="R4" t="s">
        <v>162</v>
      </c>
      <c r="S4" t="s">
        <v>53</v>
      </c>
      <c r="T4" t="s">
        <v>163</v>
      </c>
      <c r="U4" t="s">
        <v>164</v>
      </c>
      <c r="V4" t="s">
        <v>165</v>
      </c>
      <c r="W4" t="s">
        <v>166</v>
      </c>
      <c r="X4" t="s">
        <v>167</v>
      </c>
      <c r="Y4" t="s">
        <v>168</v>
      </c>
      <c r="Z4" t="s">
        <v>169</v>
      </c>
      <c r="AA4" t="s">
        <v>170</v>
      </c>
      <c r="AB4" t="s">
        <v>171</v>
      </c>
      <c r="AC4" t="s">
        <v>172</v>
      </c>
      <c r="AD4" t="s">
        <v>173</v>
      </c>
      <c r="AE4" t="s">
        <v>174</v>
      </c>
    </row>
    <row r="5" spans="1:31" x14ac:dyDescent="0.25">
      <c r="A5" t="s">
        <v>7</v>
      </c>
      <c r="B5">
        <v>47754.1</v>
      </c>
      <c r="C5">
        <v>48075</v>
      </c>
      <c r="F5">
        <v>0</v>
      </c>
      <c r="G5">
        <v>1937.4</v>
      </c>
      <c r="H5">
        <v>1923.55</v>
      </c>
      <c r="I5">
        <v>1836.45</v>
      </c>
      <c r="J5">
        <v>437.9</v>
      </c>
      <c r="K5">
        <v>31.31</v>
      </c>
      <c r="L5" t="s">
        <v>1</v>
      </c>
      <c r="M5" t="s">
        <v>429</v>
      </c>
      <c r="N5">
        <v>3230</v>
      </c>
      <c r="O5">
        <v>-570</v>
      </c>
      <c r="P5">
        <v>-15</v>
      </c>
      <c r="Q5">
        <v>3800</v>
      </c>
      <c r="R5">
        <v>1360</v>
      </c>
      <c r="S5">
        <v>76600</v>
      </c>
      <c r="T5">
        <v>40.049999999999997</v>
      </c>
      <c r="U5">
        <v>39.5</v>
      </c>
      <c r="V5">
        <v>39.5</v>
      </c>
      <c r="W5">
        <v>-52.6</v>
      </c>
      <c r="X5">
        <v>-57.11</v>
      </c>
      <c r="Y5" t="s">
        <v>2</v>
      </c>
      <c r="Z5" t="s">
        <v>430</v>
      </c>
      <c r="AA5">
        <v>16690</v>
      </c>
      <c r="AB5">
        <v>3610</v>
      </c>
      <c r="AC5">
        <v>27.6</v>
      </c>
      <c r="AD5">
        <v>13080</v>
      </c>
      <c r="AE5">
        <v>132880</v>
      </c>
    </row>
    <row r="6" spans="1:31" x14ac:dyDescent="0.25">
      <c r="A6" t="s">
        <v>8</v>
      </c>
      <c r="B6">
        <v>47389.8</v>
      </c>
      <c r="C6">
        <v>47600</v>
      </c>
      <c r="F6">
        <v>1</v>
      </c>
      <c r="G6">
        <v>1847.05</v>
      </c>
      <c r="H6">
        <v>1827.2</v>
      </c>
      <c r="I6">
        <v>1448.05</v>
      </c>
      <c r="J6">
        <v>104.8</v>
      </c>
      <c r="K6">
        <v>7.8</v>
      </c>
      <c r="L6" t="s">
        <v>1</v>
      </c>
      <c r="M6" t="s">
        <v>431</v>
      </c>
      <c r="N6">
        <v>1780</v>
      </c>
      <c r="O6">
        <v>-60</v>
      </c>
      <c r="P6">
        <v>-3.26</v>
      </c>
      <c r="Q6">
        <v>1840</v>
      </c>
      <c r="R6">
        <v>80</v>
      </c>
      <c r="S6">
        <v>76700</v>
      </c>
      <c r="T6">
        <v>43.6</v>
      </c>
      <c r="U6">
        <v>43.15</v>
      </c>
      <c r="V6">
        <v>43.5</v>
      </c>
      <c r="W6">
        <v>-59.75</v>
      </c>
      <c r="X6">
        <v>-57.87</v>
      </c>
      <c r="Y6" t="s">
        <v>2</v>
      </c>
      <c r="Z6" t="s">
        <v>432</v>
      </c>
      <c r="AA6">
        <v>18940</v>
      </c>
      <c r="AB6">
        <v>8080</v>
      </c>
      <c r="AC6">
        <v>74.400000000000006</v>
      </c>
      <c r="AD6">
        <v>10860</v>
      </c>
      <c r="AE6">
        <v>76470</v>
      </c>
    </row>
    <row r="7" spans="1:31" x14ac:dyDescent="0.25">
      <c r="A7" t="s">
        <v>9</v>
      </c>
      <c r="B7">
        <v>47841.599999999999</v>
      </c>
      <c r="C7">
        <v>48075</v>
      </c>
      <c r="F7">
        <v>2</v>
      </c>
      <c r="G7">
        <v>1756.65</v>
      </c>
      <c r="H7">
        <v>1730.8</v>
      </c>
      <c r="I7">
        <v>1735</v>
      </c>
      <c r="J7">
        <v>486.45</v>
      </c>
      <c r="K7">
        <v>38.96</v>
      </c>
      <c r="L7" t="s">
        <v>1</v>
      </c>
      <c r="M7" t="s">
        <v>433</v>
      </c>
      <c r="N7">
        <v>1920</v>
      </c>
      <c r="O7">
        <v>-10</v>
      </c>
      <c r="P7">
        <v>-0.52</v>
      </c>
      <c r="Q7">
        <v>1930</v>
      </c>
      <c r="R7">
        <v>1460</v>
      </c>
      <c r="S7">
        <v>76800</v>
      </c>
      <c r="T7">
        <v>48.25</v>
      </c>
      <c r="U7">
        <v>48</v>
      </c>
      <c r="V7">
        <v>47.5</v>
      </c>
      <c r="W7">
        <v>-69.099999999999994</v>
      </c>
      <c r="X7">
        <v>-59.26</v>
      </c>
      <c r="Y7" t="s">
        <v>2</v>
      </c>
      <c r="Z7" t="s">
        <v>434</v>
      </c>
      <c r="AA7">
        <v>45490</v>
      </c>
      <c r="AB7">
        <v>7480</v>
      </c>
      <c r="AC7">
        <v>19.68</v>
      </c>
      <c r="AD7">
        <v>38010</v>
      </c>
      <c r="AE7">
        <v>169290</v>
      </c>
    </row>
    <row r="8" spans="1:31" x14ac:dyDescent="0.25">
      <c r="A8" t="s">
        <v>10</v>
      </c>
      <c r="B8">
        <v>46983.25</v>
      </c>
      <c r="C8">
        <v>47200</v>
      </c>
      <c r="F8">
        <v>3</v>
      </c>
      <c r="G8">
        <v>1652.05</v>
      </c>
      <c r="H8">
        <v>1639.1</v>
      </c>
      <c r="I8">
        <v>1553.95</v>
      </c>
      <c r="J8">
        <v>389.9</v>
      </c>
      <c r="K8">
        <v>33.5</v>
      </c>
      <c r="L8" t="s">
        <v>1</v>
      </c>
      <c r="M8" t="s">
        <v>435</v>
      </c>
      <c r="N8">
        <v>7740</v>
      </c>
      <c r="O8">
        <v>-1460</v>
      </c>
      <c r="P8">
        <v>-15.87</v>
      </c>
      <c r="Q8">
        <v>9200</v>
      </c>
      <c r="R8">
        <v>3180</v>
      </c>
      <c r="S8">
        <v>76900</v>
      </c>
      <c r="T8">
        <v>52.9</v>
      </c>
      <c r="U8">
        <v>52.65</v>
      </c>
      <c r="V8">
        <v>52.2</v>
      </c>
      <c r="W8">
        <v>-77.400000000000006</v>
      </c>
      <c r="X8">
        <v>-59.72</v>
      </c>
      <c r="Y8" t="s">
        <v>2</v>
      </c>
      <c r="Z8" t="s">
        <v>436</v>
      </c>
      <c r="AA8">
        <v>25100</v>
      </c>
      <c r="AB8">
        <v>3380</v>
      </c>
      <c r="AC8">
        <v>15.56</v>
      </c>
      <c r="AD8">
        <v>21720</v>
      </c>
      <c r="AE8">
        <v>143760</v>
      </c>
    </row>
    <row r="9" spans="1:31" x14ac:dyDescent="0.25">
      <c r="A9" t="s">
        <v>11</v>
      </c>
      <c r="B9">
        <v>47421.1</v>
      </c>
      <c r="C9">
        <v>47607.25</v>
      </c>
      <c r="F9">
        <v>4</v>
      </c>
      <c r="G9">
        <v>1559</v>
      </c>
      <c r="H9">
        <v>1550.9</v>
      </c>
      <c r="I9">
        <v>1529.45</v>
      </c>
      <c r="J9">
        <v>451.2</v>
      </c>
      <c r="K9">
        <v>41.85</v>
      </c>
      <c r="L9" t="s">
        <v>1</v>
      </c>
      <c r="M9" t="s">
        <v>437</v>
      </c>
      <c r="N9">
        <v>30230</v>
      </c>
      <c r="O9">
        <v>-4260</v>
      </c>
      <c r="P9">
        <v>-12.35</v>
      </c>
      <c r="Q9">
        <v>34490</v>
      </c>
      <c r="R9">
        <v>24620</v>
      </c>
      <c r="S9">
        <v>77000</v>
      </c>
      <c r="T9">
        <v>59.15</v>
      </c>
      <c r="U9">
        <v>58.75</v>
      </c>
      <c r="V9">
        <v>59</v>
      </c>
      <c r="W9">
        <v>-85.9</v>
      </c>
      <c r="X9">
        <v>-59.28</v>
      </c>
      <c r="Y9" t="s">
        <v>2</v>
      </c>
      <c r="Z9" t="s">
        <v>438</v>
      </c>
      <c r="AA9">
        <v>118500</v>
      </c>
      <c r="AB9">
        <v>28120</v>
      </c>
      <c r="AC9">
        <v>31.11</v>
      </c>
      <c r="AD9">
        <v>90380</v>
      </c>
      <c r="AE9">
        <v>497410</v>
      </c>
    </row>
    <row r="10" spans="1:31" x14ac:dyDescent="0.25">
      <c r="A10" t="s">
        <v>12</v>
      </c>
      <c r="B10">
        <v>156036</v>
      </c>
      <c r="F10">
        <v>5</v>
      </c>
      <c r="G10">
        <v>1462.5</v>
      </c>
      <c r="H10">
        <v>1455.1</v>
      </c>
      <c r="I10">
        <v>1460</v>
      </c>
      <c r="J10">
        <v>476.25</v>
      </c>
      <c r="K10">
        <v>48.41</v>
      </c>
      <c r="L10" t="s">
        <v>1</v>
      </c>
      <c r="M10" t="s">
        <v>439</v>
      </c>
      <c r="N10">
        <v>7620</v>
      </c>
      <c r="O10">
        <v>-1760</v>
      </c>
      <c r="P10">
        <v>-18.760000000000002</v>
      </c>
      <c r="Q10">
        <v>9380</v>
      </c>
      <c r="R10">
        <v>12960</v>
      </c>
      <c r="S10">
        <v>77100</v>
      </c>
      <c r="T10">
        <v>65.849999999999994</v>
      </c>
      <c r="U10">
        <v>65.25</v>
      </c>
      <c r="V10">
        <v>66</v>
      </c>
      <c r="W10">
        <v>-97.5</v>
      </c>
      <c r="X10">
        <v>-59.63</v>
      </c>
      <c r="Y10" t="s">
        <v>2</v>
      </c>
      <c r="Z10" t="s">
        <v>440</v>
      </c>
      <c r="AA10">
        <v>29400</v>
      </c>
      <c r="AB10">
        <v>6580</v>
      </c>
      <c r="AC10">
        <v>28.83</v>
      </c>
      <c r="AD10">
        <v>22820</v>
      </c>
      <c r="AE10">
        <v>112840</v>
      </c>
    </row>
    <row r="11" spans="1:31" x14ac:dyDescent="0.25">
      <c r="A11" t="s">
        <v>13</v>
      </c>
      <c r="B11">
        <v>48000</v>
      </c>
      <c r="F11">
        <v>6</v>
      </c>
      <c r="G11">
        <v>1370.1</v>
      </c>
      <c r="H11">
        <v>1360.9</v>
      </c>
      <c r="I11">
        <v>1379.95</v>
      </c>
      <c r="J11">
        <v>465.75</v>
      </c>
      <c r="K11">
        <v>50.95</v>
      </c>
      <c r="L11" t="s">
        <v>1</v>
      </c>
      <c r="M11" t="s">
        <v>441</v>
      </c>
      <c r="N11">
        <v>6590</v>
      </c>
      <c r="O11">
        <v>180</v>
      </c>
      <c r="P11">
        <v>2.81</v>
      </c>
      <c r="Q11">
        <v>6410</v>
      </c>
      <c r="R11">
        <v>4540</v>
      </c>
      <c r="S11">
        <v>77200</v>
      </c>
      <c r="T11">
        <v>73.349999999999994</v>
      </c>
      <c r="U11">
        <v>72.95</v>
      </c>
      <c r="V11">
        <v>72</v>
      </c>
      <c r="W11">
        <v>-116.4</v>
      </c>
      <c r="X11">
        <v>-61.78</v>
      </c>
      <c r="Y11" t="s">
        <v>2</v>
      </c>
      <c r="Z11" t="s">
        <v>442</v>
      </c>
      <c r="AA11">
        <v>26970</v>
      </c>
      <c r="AB11">
        <v>1820</v>
      </c>
      <c r="AC11">
        <v>7.24</v>
      </c>
      <c r="AD11">
        <v>25150</v>
      </c>
      <c r="AE11">
        <v>130760</v>
      </c>
    </row>
    <row r="12" spans="1:31" x14ac:dyDescent="0.25">
      <c r="A12" t="s">
        <v>14</v>
      </c>
      <c r="B12">
        <v>189.2</v>
      </c>
      <c r="C12">
        <v>337.85</v>
      </c>
      <c r="F12">
        <v>7</v>
      </c>
      <c r="G12">
        <v>1283.1500000000001</v>
      </c>
      <c r="H12">
        <v>1269.95</v>
      </c>
      <c r="I12">
        <v>1247</v>
      </c>
      <c r="J12">
        <v>426.75</v>
      </c>
      <c r="K12">
        <v>52.03</v>
      </c>
      <c r="L12" t="s">
        <v>1</v>
      </c>
      <c r="M12" t="s">
        <v>443</v>
      </c>
      <c r="N12">
        <v>8620</v>
      </c>
      <c r="O12">
        <v>-6910</v>
      </c>
      <c r="P12">
        <v>-44.49</v>
      </c>
      <c r="Q12">
        <v>15530</v>
      </c>
      <c r="R12">
        <v>20640</v>
      </c>
      <c r="S12">
        <v>77300</v>
      </c>
      <c r="T12">
        <v>82.8</v>
      </c>
      <c r="U12">
        <v>82.15</v>
      </c>
      <c r="V12">
        <v>82.85</v>
      </c>
      <c r="W12">
        <v>-126.75</v>
      </c>
      <c r="X12">
        <v>-60.47</v>
      </c>
      <c r="Y12" t="s">
        <v>2</v>
      </c>
      <c r="Z12" t="s">
        <v>444</v>
      </c>
      <c r="AA12">
        <v>30150</v>
      </c>
      <c r="AB12">
        <v>1980</v>
      </c>
      <c r="AC12">
        <v>7.03</v>
      </c>
      <c r="AD12">
        <v>28170</v>
      </c>
      <c r="AE12">
        <v>171870</v>
      </c>
    </row>
    <row r="13" spans="1:31" x14ac:dyDescent="0.25">
      <c r="A13" t="s">
        <v>15</v>
      </c>
      <c r="B13">
        <v>48100</v>
      </c>
      <c r="F13">
        <v>8</v>
      </c>
      <c r="G13">
        <v>1193</v>
      </c>
      <c r="H13">
        <v>1180.5999999999999</v>
      </c>
      <c r="I13">
        <v>1193.05</v>
      </c>
      <c r="J13">
        <v>450.75</v>
      </c>
      <c r="K13">
        <v>60.72</v>
      </c>
      <c r="L13" t="s">
        <v>1</v>
      </c>
      <c r="M13" t="s">
        <v>445</v>
      </c>
      <c r="N13">
        <v>15010</v>
      </c>
      <c r="O13">
        <v>-3630</v>
      </c>
      <c r="P13">
        <v>-19.47</v>
      </c>
      <c r="Q13">
        <v>18640</v>
      </c>
      <c r="R13">
        <v>13130</v>
      </c>
      <c r="S13">
        <v>77400</v>
      </c>
      <c r="T13">
        <v>92.95</v>
      </c>
      <c r="U13">
        <v>92.05</v>
      </c>
      <c r="V13">
        <v>92.95</v>
      </c>
      <c r="W13">
        <v>-141</v>
      </c>
      <c r="X13">
        <v>-60.27</v>
      </c>
      <c r="Y13" t="s">
        <v>2</v>
      </c>
      <c r="Z13" t="s">
        <v>446</v>
      </c>
      <c r="AA13">
        <v>50490</v>
      </c>
      <c r="AB13">
        <v>30510</v>
      </c>
      <c r="AC13">
        <v>152.69999999999999</v>
      </c>
      <c r="AD13">
        <v>19980</v>
      </c>
      <c r="AE13">
        <v>205920</v>
      </c>
    </row>
    <row r="14" spans="1:31" x14ac:dyDescent="0.25">
      <c r="A14" t="s">
        <v>16</v>
      </c>
      <c r="B14">
        <v>153.69999999999999</v>
      </c>
      <c r="C14">
        <v>399</v>
      </c>
      <c r="F14">
        <v>9</v>
      </c>
      <c r="G14">
        <v>1104.1500000000001</v>
      </c>
      <c r="H14">
        <v>1097.7</v>
      </c>
      <c r="I14">
        <v>1104.3499999999999</v>
      </c>
      <c r="J14">
        <v>419.45</v>
      </c>
      <c r="K14">
        <v>61.24</v>
      </c>
      <c r="L14" t="s">
        <v>1</v>
      </c>
      <c r="M14" t="s">
        <v>447</v>
      </c>
      <c r="N14">
        <v>42230</v>
      </c>
      <c r="O14">
        <v>-17140</v>
      </c>
      <c r="P14">
        <v>-28.87</v>
      </c>
      <c r="Q14">
        <v>59370</v>
      </c>
      <c r="R14">
        <v>118710</v>
      </c>
      <c r="S14">
        <v>77500</v>
      </c>
      <c r="T14">
        <v>106.2</v>
      </c>
      <c r="U14">
        <v>105.6</v>
      </c>
      <c r="V14">
        <v>105</v>
      </c>
      <c r="W14">
        <v>-158.1</v>
      </c>
      <c r="X14">
        <v>-60.09</v>
      </c>
      <c r="Y14" t="s">
        <v>2</v>
      </c>
      <c r="Z14" t="s">
        <v>448</v>
      </c>
      <c r="AA14">
        <v>89880</v>
      </c>
      <c r="AB14">
        <v>11890</v>
      </c>
      <c r="AC14">
        <v>15.25</v>
      </c>
      <c r="AD14">
        <v>77990</v>
      </c>
      <c r="AE14">
        <v>525260</v>
      </c>
    </row>
    <row r="15" spans="1:31" x14ac:dyDescent="0.25">
      <c r="A15" t="s">
        <v>17</v>
      </c>
      <c r="B15">
        <v>2846914</v>
      </c>
      <c r="C15">
        <v>2584448</v>
      </c>
      <c r="F15">
        <v>10</v>
      </c>
      <c r="G15">
        <v>1017.4</v>
      </c>
      <c r="H15">
        <v>1009.55</v>
      </c>
      <c r="I15">
        <v>1011.6</v>
      </c>
      <c r="J15">
        <v>402.55</v>
      </c>
      <c r="K15">
        <v>66.09</v>
      </c>
      <c r="L15" t="s">
        <v>1</v>
      </c>
      <c r="M15" t="s">
        <v>449</v>
      </c>
      <c r="N15">
        <v>10230</v>
      </c>
      <c r="O15">
        <v>-1150</v>
      </c>
      <c r="P15">
        <v>-10.11</v>
      </c>
      <c r="Q15">
        <v>11380</v>
      </c>
      <c r="R15">
        <v>29660</v>
      </c>
      <c r="S15">
        <v>77600</v>
      </c>
      <c r="T15">
        <v>121.5</v>
      </c>
      <c r="U15">
        <v>120.75</v>
      </c>
      <c r="V15">
        <v>121.3</v>
      </c>
      <c r="W15">
        <v>-178.9</v>
      </c>
      <c r="X15">
        <v>-59.59</v>
      </c>
      <c r="Y15" t="s">
        <v>2</v>
      </c>
      <c r="Z15" t="s">
        <v>450</v>
      </c>
      <c r="AA15">
        <v>22800</v>
      </c>
      <c r="AB15">
        <v>5760</v>
      </c>
      <c r="AC15">
        <v>33.799999999999997</v>
      </c>
      <c r="AD15">
        <v>17040</v>
      </c>
      <c r="AE15">
        <v>169120</v>
      </c>
    </row>
    <row r="16" spans="1:31" x14ac:dyDescent="0.25">
      <c r="A16" t="s">
        <v>18</v>
      </c>
      <c r="B16">
        <v>-211477</v>
      </c>
      <c r="C16">
        <v>586536</v>
      </c>
      <c r="F16">
        <v>11</v>
      </c>
      <c r="G16">
        <v>937.6</v>
      </c>
      <c r="H16">
        <v>930.5</v>
      </c>
      <c r="I16">
        <v>911.55</v>
      </c>
      <c r="J16">
        <v>359.8</v>
      </c>
      <c r="K16">
        <v>65.209999999999994</v>
      </c>
      <c r="L16" t="s">
        <v>1</v>
      </c>
      <c r="M16" t="s">
        <v>451</v>
      </c>
      <c r="N16">
        <v>9200</v>
      </c>
      <c r="O16">
        <v>-3920</v>
      </c>
      <c r="P16">
        <v>-29.88</v>
      </c>
      <c r="Q16">
        <v>13120</v>
      </c>
      <c r="R16">
        <v>50850</v>
      </c>
      <c r="S16">
        <v>77700</v>
      </c>
      <c r="T16">
        <v>138.30000000000001</v>
      </c>
      <c r="U16">
        <v>137.75</v>
      </c>
      <c r="V16">
        <v>139.15</v>
      </c>
      <c r="W16">
        <v>-195.4</v>
      </c>
      <c r="X16">
        <v>-58.41</v>
      </c>
      <c r="Y16" t="s">
        <v>2</v>
      </c>
      <c r="Z16" t="s">
        <v>452</v>
      </c>
      <c r="AA16">
        <v>30730</v>
      </c>
      <c r="AB16">
        <v>11310</v>
      </c>
      <c r="AC16">
        <v>58.24</v>
      </c>
      <c r="AD16">
        <v>19420</v>
      </c>
      <c r="AE16">
        <v>217790</v>
      </c>
    </row>
    <row r="17" spans="1:31" x14ac:dyDescent="0.25">
      <c r="A17" t="s">
        <v>19</v>
      </c>
      <c r="B17">
        <v>195915</v>
      </c>
      <c r="C17">
        <v>157009</v>
      </c>
      <c r="F17">
        <v>12</v>
      </c>
      <c r="G17">
        <v>858.5</v>
      </c>
      <c r="H17">
        <v>852.3</v>
      </c>
      <c r="I17">
        <v>854.9</v>
      </c>
      <c r="J17">
        <v>365.1</v>
      </c>
      <c r="K17">
        <v>74.540000000000006</v>
      </c>
      <c r="L17" t="s">
        <v>1</v>
      </c>
      <c r="M17" t="s">
        <v>237</v>
      </c>
      <c r="N17">
        <v>6990</v>
      </c>
      <c r="O17">
        <v>-3950</v>
      </c>
      <c r="P17">
        <v>-36.11</v>
      </c>
      <c r="Q17">
        <v>10940</v>
      </c>
      <c r="R17">
        <v>95500</v>
      </c>
      <c r="S17">
        <v>77800</v>
      </c>
      <c r="T17">
        <v>159.15</v>
      </c>
      <c r="U17">
        <v>158.30000000000001</v>
      </c>
      <c r="V17">
        <v>159.75</v>
      </c>
      <c r="W17">
        <v>-215.95</v>
      </c>
      <c r="X17">
        <v>-57.48</v>
      </c>
      <c r="Y17" t="s">
        <v>2</v>
      </c>
      <c r="Z17" t="s">
        <v>238</v>
      </c>
      <c r="AA17">
        <v>43640</v>
      </c>
      <c r="AB17">
        <v>24820</v>
      </c>
      <c r="AC17">
        <v>131.88</v>
      </c>
      <c r="AD17">
        <v>18820</v>
      </c>
      <c r="AE17">
        <v>266390</v>
      </c>
    </row>
    <row r="18" spans="1:31" x14ac:dyDescent="0.25">
      <c r="A18" t="s">
        <v>20</v>
      </c>
      <c r="B18">
        <v>48000</v>
      </c>
      <c r="C18">
        <v>47000</v>
      </c>
      <c r="F18">
        <v>13</v>
      </c>
      <c r="G18">
        <v>779.3</v>
      </c>
      <c r="H18">
        <v>774.2</v>
      </c>
      <c r="I18">
        <v>775</v>
      </c>
      <c r="J18">
        <v>338.4</v>
      </c>
      <c r="K18">
        <v>77.510000000000005</v>
      </c>
      <c r="L18" t="s">
        <v>1</v>
      </c>
      <c r="M18" t="s">
        <v>239</v>
      </c>
      <c r="N18">
        <v>14730</v>
      </c>
      <c r="O18">
        <v>6330</v>
      </c>
      <c r="P18">
        <v>75.36</v>
      </c>
      <c r="Q18">
        <v>8400</v>
      </c>
      <c r="R18">
        <v>214540</v>
      </c>
      <c r="S18">
        <v>77900</v>
      </c>
      <c r="T18">
        <v>181.7</v>
      </c>
      <c r="U18">
        <v>180.8</v>
      </c>
      <c r="V18">
        <v>182.8</v>
      </c>
      <c r="W18">
        <v>-236.25</v>
      </c>
      <c r="X18">
        <v>-56.38</v>
      </c>
      <c r="Y18" t="s">
        <v>2</v>
      </c>
      <c r="Z18" t="s">
        <v>240</v>
      </c>
      <c r="AA18">
        <v>29440</v>
      </c>
      <c r="AB18">
        <v>14880</v>
      </c>
      <c r="AC18">
        <v>102.2</v>
      </c>
      <c r="AD18">
        <v>14560</v>
      </c>
      <c r="AE18">
        <v>294340</v>
      </c>
    </row>
    <row r="19" spans="1:31" x14ac:dyDescent="0.25">
      <c r="A19" t="s">
        <v>21</v>
      </c>
      <c r="B19">
        <v>189.2</v>
      </c>
      <c r="C19">
        <v>39.799999999999997</v>
      </c>
      <c r="F19">
        <v>14</v>
      </c>
      <c r="G19">
        <v>704.6</v>
      </c>
      <c r="H19">
        <v>702.1</v>
      </c>
      <c r="I19">
        <v>702.55</v>
      </c>
      <c r="J19">
        <v>315.5</v>
      </c>
      <c r="K19">
        <v>81.510000000000005</v>
      </c>
      <c r="L19" t="s">
        <v>1</v>
      </c>
      <c r="M19" t="s">
        <v>241</v>
      </c>
      <c r="N19">
        <v>74030</v>
      </c>
      <c r="O19">
        <v>19190</v>
      </c>
      <c r="P19">
        <v>34.99</v>
      </c>
      <c r="Q19">
        <v>54840</v>
      </c>
      <c r="R19">
        <v>935460</v>
      </c>
      <c r="S19">
        <v>78000</v>
      </c>
      <c r="T19">
        <v>207.5</v>
      </c>
      <c r="U19">
        <v>206.75</v>
      </c>
      <c r="V19">
        <v>206.75</v>
      </c>
      <c r="W19">
        <v>-258.3</v>
      </c>
      <c r="X19">
        <v>-55.54</v>
      </c>
      <c r="Y19" t="s">
        <v>2</v>
      </c>
      <c r="Z19" t="s">
        <v>242</v>
      </c>
      <c r="AA19">
        <v>135780</v>
      </c>
      <c r="AB19">
        <v>88230</v>
      </c>
      <c r="AC19">
        <v>185.55</v>
      </c>
      <c r="AD19">
        <v>47550</v>
      </c>
      <c r="AE19">
        <v>1077270</v>
      </c>
    </row>
    <row r="20" spans="1:31" x14ac:dyDescent="0.25">
      <c r="A20" t="s">
        <v>22</v>
      </c>
      <c r="B20">
        <v>16940</v>
      </c>
      <c r="C20">
        <v>63125</v>
      </c>
      <c r="F20">
        <v>15</v>
      </c>
      <c r="G20">
        <v>636</v>
      </c>
      <c r="H20">
        <v>634</v>
      </c>
      <c r="I20">
        <v>631.9</v>
      </c>
      <c r="J20">
        <v>289.85000000000002</v>
      </c>
      <c r="K20">
        <v>84.74</v>
      </c>
      <c r="L20" t="s">
        <v>1</v>
      </c>
      <c r="M20" t="s">
        <v>243</v>
      </c>
      <c r="N20">
        <v>32970</v>
      </c>
      <c r="O20">
        <v>17380</v>
      </c>
      <c r="P20">
        <v>111.48</v>
      </c>
      <c r="Q20">
        <v>15590</v>
      </c>
      <c r="R20">
        <v>654120</v>
      </c>
      <c r="S20">
        <v>78100</v>
      </c>
      <c r="T20">
        <v>237.5</v>
      </c>
      <c r="U20">
        <v>236.8</v>
      </c>
      <c r="V20">
        <v>238</v>
      </c>
      <c r="W20">
        <v>-277.05</v>
      </c>
      <c r="X20">
        <v>-53.79</v>
      </c>
      <c r="Y20" t="s">
        <v>2</v>
      </c>
      <c r="Z20" t="s">
        <v>244</v>
      </c>
      <c r="AA20">
        <v>47580</v>
      </c>
      <c r="AB20">
        <v>33700</v>
      </c>
      <c r="AC20">
        <v>242.8</v>
      </c>
      <c r="AD20">
        <v>13880</v>
      </c>
      <c r="AE20">
        <v>364550</v>
      </c>
    </row>
    <row r="21" spans="1:31" x14ac:dyDescent="0.25">
      <c r="A21" t="s">
        <v>23</v>
      </c>
      <c r="B21">
        <v>47000</v>
      </c>
      <c r="C21">
        <v>47000</v>
      </c>
      <c r="F21">
        <v>16</v>
      </c>
      <c r="G21">
        <v>569.79999999999995</v>
      </c>
      <c r="H21">
        <v>567.85</v>
      </c>
      <c r="I21">
        <v>563.29999999999995</v>
      </c>
      <c r="J21">
        <v>263.35000000000002</v>
      </c>
      <c r="K21">
        <v>87.8</v>
      </c>
      <c r="L21" t="s">
        <v>1</v>
      </c>
      <c r="M21" t="s">
        <v>245</v>
      </c>
      <c r="N21">
        <v>16810</v>
      </c>
      <c r="O21">
        <v>1260</v>
      </c>
      <c r="P21">
        <v>8.1</v>
      </c>
      <c r="Q21">
        <v>15550</v>
      </c>
      <c r="R21">
        <v>584440</v>
      </c>
      <c r="S21">
        <v>78200</v>
      </c>
      <c r="T21">
        <v>272.64999999999998</v>
      </c>
      <c r="U21">
        <v>271.64999999999998</v>
      </c>
      <c r="V21">
        <v>273.89999999999998</v>
      </c>
      <c r="W21">
        <v>-291.45</v>
      </c>
      <c r="X21">
        <v>-51.55</v>
      </c>
      <c r="Y21" t="s">
        <v>2</v>
      </c>
      <c r="Z21" t="s">
        <v>246</v>
      </c>
      <c r="AA21">
        <v>34810</v>
      </c>
      <c r="AB21">
        <v>32820</v>
      </c>
      <c r="AC21">
        <v>1649.25</v>
      </c>
      <c r="AD21">
        <v>1990</v>
      </c>
      <c r="AE21">
        <v>293810</v>
      </c>
    </row>
    <row r="22" spans="1:31" x14ac:dyDescent="0.25">
      <c r="A22" t="s">
        <v>24</v>
      </c>
      <c r="B22">
        <v>888.05</v>
      </c>
      <c r="C22">
        <v>39.799999999999997</v>
      </c>
      <c r="F22">
        <v>17</v>
      </c>
      <c r="G22">
        <v>506.95</v>
      </c>
      <c r="H22">
        <v>505.75</v>
      </c>
      <c r="I22">
        <v>502.95</v>
      </c>
      <c r="J22">
        <v>247.2</v>
      </c>
      <c r="K22">
        <v>96.66</v>
      </c>
      <c r="L22" t="s">
        <v>1</v>
      </c>
      <c r="M22" t="s">
        <v>247</v>
      </c>
      <c r="N22">
        <v>19450</v>
      </c>
      <c r="O22">
        <v>8680</v>
      </c>
      <c r="P22">
        <v>80.59</v>
      </c>
      <c r="Q22">
        <v>10770</v>
      </c>
      <c r="R22">
        <v>522090</v>
      </c>
      <c r="S22">
        <v>78300</v>
      </c>
      <c r="T22">
        <v>310.60000000000002</v>
      </c>
      <c r="U22">
        <v>309.3</v>
      </c>
      <c r="V22">
        <v>313.60000000000002</v>
      </c>
      <c r="W22">
        <v>-307.2</v>
      </c>
      <c r="X22">
        <v>-49.48</v>
      </c>
      <c r="Y22" t="s">
        <v>2</v>
      </c>
      <c r="Z22" t="s">
        <v>248</v>
      </c>
      <c r="AA22">
        <v>23960</v>
      </c>
      <c r="AB22">
        <v>23180</v>
      </c>
      <c r="AC22">
        <v>2971.79</v>
      </c>
      <c r="AD22">
        <v>780</v>
      </c>
      <c r="AE22">
        <v>208930</v>
      </c>
    </row>
    <row r="23" spans="1:31" x14ac:dyDescent="0.25">
      <c r="A23" t="s">
        <v>25</v>
      </c>
      <c r="B23">
        <v>49781</v>
      </c>
      <c r="C23">
        <v>19430</v>
      </c>
      <c r="F23">
        <v>18</v>
      </c>
      <c r="G23">
        <v>449.6</v>
      </c>
      <c r="H23">
        <v>447.8</v>
      </c>
      <c r="I23">
        <v>445.05</v>
      </c>
      <c r="J23">
        <v>225.8</v>
      </c>
      <c r="K23">
        <v>102.99</v>
      </c>
      <c r="L23" t="s">
        <v>1</v>
      </c>
      <c r="M23" t="s">
        <v>249</v>
      </c>
      <c r="N23">
        <v>24280</v>
      </c>
      <c r="O23">
        <v>10960</v>
      </c>
      <c r="P23">
        <v>82.28</v>
      </c>
      <c r="Q23">
        <v>13320</v>
      </c>
      <c r="R23">
        <v>660480</v>
      </c>
      <c r="S23">
        <v>78400</v>
      </c>
      <c r="T23">
        <v>351.95</v>
      </c>
      <c r="U23">
        <v>350.95</v>
      </c>
      <c r="V23">
        <v>355.2</v>
      </c>
      <c r="W23">
        <v>-339.5</v>
      </c>
      <c r="X23">
        <v>-48.87</v>
      </c>
      <c r="Y23" t="s">
        <v>2</v>
      </c>
      <c r="Z23" t="s">
        <v>250</v>
      </c>
      <c r="AA23">
        <v>31560</v>
      </c>
      <c r="AB23">
        <v>27840</v>
      </c>
      <c r="AC23">
        <v>748.39</v>
      </c>
      <c r="AD23">
        <v>3720</v>
      </c>
      <c r="AE23">
        <v>215380</v>
      </c>
    </row>
    <row r="24" spans="1:31" x14ac:dyDescent="0.25">
      <c r="A24" t="s">
        <v>26</v>
      </c>
      <c r="B24">
        <v>57000</v>
      </c>
      <c r="C24">
        <v>39500</v>
      </c>
      <c r="F24">
        <v>19</v>
      </c>
      <c r="G24">
        <v>398.05</v>
      </c>
      <c r="H24">
        <v>396.75</v>
      </c>
      <c r="I24">
        <v>397</v>
      </c>
      <c r="J24">
        <v>209.2</v>
      </c>
      <c r="K24">
        <v>111.4</v>
      </c>
      <c r="L24" t="s">
        <v>1</v>
      </c>
      <c r="M24" t="s">
        <v>453</v>
      </c>
      <c r="N24">
        <v>114320</v>
      </c>
      <c r="O24">
        <v>72310</v>
      </c>
      <c r="P24">
        <v>172.13</v>
      </c>
      <c r="Q24">
        <v>42010</v>
      </c>
      <c r="R24">
        <v>1296600</v>
      </c>
      <c r="S24">
        <v>78500</v>
      </c>
      <c r="T24">
        <v>399.15</v>
      </c>
      <c r="U24">
        <v>397.35</v>
      </c>
      <c r="V24">
        <v>401.5</v>
      </c>
      <c r="W24">
        <v>-362.25</v>
      </c>
      <c r="X24">
        <v>-47.43</v>
      </c>
      <c r="Y24" t="s">
        <v>2</v>
      </c>
      <c r="Z24" t="s">
        <v>454</v>
      </c>
      <c r="AA24">
        <v>76490</v>
      </c>
      <c r="AB24">
        <v>75230</v>
      </c>
      <c r="AC24">
        <v>5970.63</v>
      </c>
      <c r="AD24">
        <v>1260</v>
      </c>
      <c r="AE24">
        <v>352490</v>
      </c>
    </row>
    <row r="25" spans="1:31" x14ac:dyDescent="0.25">
      <c r="A25" t="s">
        <v>27</v>
      </c>
      <c r="B25">
        <v>0.9</v>
      </c>
      <c r="C25">
        <v>1.05</v>
      </c>
      <c r="F25">
        <v>20</v>
      </c>
      <c r="G25">
        <v>350</v>
      </c>
      <c r="H25">
        <v>348.85</v>
      </c>
      <c r="I25">
        <v>345</v>
      </c>
      <c r="J25">
        <v>184.15</v>
      </c>
      <c r="K25">
        <v>114.49</v>
      </c>
      <c r="L25" t="s">
        <v>1</v>
      </c>
      <c r="M25" t="s">
        <v>455</v>
      </c>
      <c r="N25">
        <v>39160</v>
      </c>
      <c r="O25">
        <v>31300</v>
      </c>
      <c r="P25">
        <v>398.22</v>
      </c>
      <c r="Q25">
        <v>7860</v>
      </c>
      <c r="R25">
        <v>551700</v>
      </c>
      <c r="S25">
        <v>78600</v>
      </c>
      <c r="T25">
        <v>453.2</v>
      </c>
      <c r="U25">
        <v>451.3</v>
      </c>
      <c r="V25">
        <v>454.85</v>
      </c>
      <c r="W25">
        <v>-376.45</v>
      </c>
      <c r="X25">
        <v>-45.28</v>
      </c>
      <c r="Y25" t="s">
        <v>2</v>
      </c>
      <c r="Z25" t="s">
        <v>456</v>
      </c>
      <c r="AA25">
        <v>15910</v>
      </c>
      <c r="AB25">
        <v>15510</v>
      </c>
      <c r="AC25">
        <v>3877.5</v>
      </c>
      <c r="AD25">
        <v>400</v>
      </c>
      <c r="AE25">
        <v>92550</v>
      </c>
    </row>
    <row r="26" spans="1:31" x14ac:dyDescent="0.25">
      <c r="A26" t="s">
        <v>28</v>
      </c>
      <c r="B26">
        <v>59152340</v>
      </c>
      <c r="C26">
        <v>56634883</v>
      </c>
      <c r="F26">
        <v>21</v>
      </c>
      <c r="G26">
        <v>305.5</v>
      </c>
      <c r="H26">
        <v>304.35000000000002</v>
      </c>
      <c r="I26">
        <v>301.7</v>
      </c>
      <c r="J26">
        <v>165.25</v>
      </c>
      <c r="K26">
        <v>121.11</v>
      </c>
      <c r="L26" t="s">
        <v>1</v>
      </c>
      <c r="M26" t="s">
        <v>457</v>
      </c>
      <c r="N26">
        <v>28860</v>
      </c>
      <c r="O26">
        <v>19690</v>
      </c>
      <c r="P26">
        <v>214.72</v>
      </c>
      <c r="Q26">
        <v>9170</v>
      </c>
      <c r="R26">
        <v>338460</v>
      </c>
      <c r="S26">
        <v>78700</v>
      </c>
      <c r="T26">
        <v>508.4</v>
      </c>
      <c r="U26">
        <v>506.3</v>
      </c>
      <c r="V26">
        <v>509.35</v>
      </c>
      <c r="W26">
        <v>-415.05</v>
      </c>
      <c r="X26">
        <v>-44.9</v>
      </c>
      <c r="Y26" t="s">
        <v>2</v>
      </c>
      <c r="Z26" t="s">
        <v>458</v>
      </c>
      <c r="AA26">
        <v>8940</v>
      </c>
      <c r="AB26">
        <v>8670</v>
      </c>
      <c r="AC26">
        <v>3211.11</v>
      </c>
      <c r="AD26">
        <v>270</v>
      </c>
      <c r="AE26">
        <v>28910</v>
      </c>
    </row>
    <row r="27" spans="1:31" x14ac:dyDescent="0.25">
      <c r="A27" t="s">
        <v>29</v>
      </c>
      <c r="B27">
        <v>47500</v>
      </c>
      <c r="C27">
        <v>47000</v>
      </c>
      <c r="F27">
        <v>22</v>
      </c>
      <c r="G27">
        <v>266.45</v>
      </c>
      <c r="H27">
        <v>264.64999999999998</v>
      </c>
      <c r="I27">
        <v>262.7</v>
      </c>
      <c r="J27">
        <v>148.80000000000001</v>
      </c>
      <c r="K27">
        <v>130.63999999999999</v>
      </c>
      <c r="L27" t="s">
        <v>1</v>
      </c>
      <c r="M27" t="s">
        <v>459</v>
      </c>
      <c r="N27">
        <v>42140</v>
      </c>
      <c r="O27">
        <v>10050</v>
      </c>
      <c r="P27">
        <v>31.32</v>
      </c>
      <c r="Q27">
        <v>32090</v>
      </c>
      <c r="R27">
        <v>392220</v>
      </c>
      <c r="S27">
        <v>78800</v>
      </c>
      <c r="T27">
        <v>570.04999999999995</v>
      </c>
      <c r="U27">
        <v>566.85</v>
      </c>
      <c r="V27">
        <v>564.85</v>
      </c>
      <c r="W27">
        <v>-420.9</v>
      </c>
      <c r="X27">
        <v>-42.7</v>
      </c>
      <c r="Y27" t="s">
        <v>2</v>
      </c>
      <c r="Z27" t="s">
        <v>460</v>
      </c>
      <c r="AA27">
        <v>2130</v>
      </c>
      <c r="AB27">
        <v>1870</v>
      </c>
      <c r="AC27">
        <v>719.23</v>
      </c>
      <c r="AD27">
        <v>260</v>
      </c>
      <c r="AE27">
        <v>11440</v>
      </c>
    </row>
    <row r="28" spans="1:31" x14ac:dyDescent="0.25">
      <c r="A28" t="s">
        <v>30</v>
      </c>
      <c r="B28">
        <v>470.15</v>
      </c>
      <c r="C28">
        <v>39.799999999999997</v>
      </c>
      <c r="F28">
        <v>23</v>
      </c>
      <c r="G28">
        <v>232.6</v>
      </c>
      <c r="H28">
        <v>231.25</v>
      </c>
      <c r="I28">
        <v>229.15</v>
      </c>
      <c r="J28">
        <v>130.15</v>
      </c>
      <c r="K28">
        <v>131.46</v>
      </c>
      <c r="L28" t="s">
        <v>1</v>
      </c>
      <c r="M28" t="s">
        <v>461</v>
      </c>
      <c r="N28">
        <v>24560</v>
      </c>
      <c r="O28">
        <v>14060</v>
      </c>
      <c r="P28">
        <v>133.9</v>
      </c>
      <c r="Q28">
        <v>10500</v>
      </c>
      <c r="R28">
        <v>275140</v>
      </c>
      <c r="S28">
        <v>78900</v>
      </c>
      <c r="T28">
        <v>635.35</v>
      </c>
      <c r="U28">
        <v>632.79999999999995</v>
      </c>
      <c r="V28">
        <v>636.6</v>
      </c>
      <c r="W28">
        <v>-284.55</v>
      </c>
      <c r="X28">
        <v>-30.89</v>
      </c>
      <c r="Y28" t="s">
        <v>2</v>
      </c>
      <c r="Z28" t="s">
        <v>462</v>
      </c>
      <c r="AA28">
        <v>930</v>
      </c>
      <c r="AB28">
        <v>930</v>
      </c>
      <c r="AC28">
        <v>0</v>
      </c>
      <c r="AD28">
        <v>0</v>
      </c>
      <c r="AE28">
        <v>3900</v>
      </c>
    </row>
    <row r="29" spans="1:31" x14ac:dyDescent="0.25">
      <c r="F29">
        <v>24</v>
      </c>
      <c r="G29">
        <v>200.7</v>
      </c>
      <c r="H29">
        <v>199.95</v>
      </c>
      <c r="I29">
        <v>199.75</v>
      </c>
      <c r="J29">
        <v>116</v>
      </c>
      <c r="K29">
        <v>138.51</v>
      </c>
      <c r="L29" t="s">
        <v>1</v>
      </c>
      <c r="M29" t="s">
        <v>463</v>
      </c>
      <c r="N29">
        <v>85250</v>
      </c>
      <c r="O29">
        <v>38150</v>
      </c>
      <c r="P29">
        <v>81</v>
      </c>
      <c r="Q29">
        <v>47100</v>
      </c>
      <c r="R29">
        <v>1156650</v>
      </c>
      <c r="S29">
        <v>79000</v>
      </c>
      <c r="T29">
        <v>705.2</v>
      </c>
      <c r="U29">
        <v>700.45</v>
      </c>
      <c r="V29">
        <v>705.45</v>
      </c>
      <c r="W29">
        <v>-501.6</v>
      </c>
      <c r="X29">
        <v>-41.56</v>
      </c>
      <c r="Y29" t="s">
        <v>2</v>
      </c>
      <c r="Z29" t="s">
        <v>464</v>
      </c>
      <c r="AA29">
        <v>7260</v>
      </c>
      <c r="AB29">
        <v>6110</v>
      </c>
      <c r="AC29">
        <v>531.29999999999995</v>
      </c>
      <c r="AD29">
        <v>1150</v>
      </c>
      <c r="AE29">
        <v>16470</v>
      </c>
    </row>
    <row r="30" spans="1:31" x14ac:dyDescent="0.25">
      <c r="F30">
        <v>25</v>
      </c>
      <c r="G30">
        <v>173.85</v>
      </c>
      <c r="H30">
        <v>173.35</v>
      </c>
      <c r="I30">
        <v>172</v>
      </c>
      <c r="J30">
        <v>100.2</v>
      </c>
      <c r="K30">
        <v>139.55000000000001</v>
      </c>
      <c r="L30" t="s">
        <v>1</v>
      </c>
      <c r="M30" t="s">
        <v>465</v>
      </c>
      <c r="N30">
        <v>18740</v>
      </c>
      <c r="O30">
        <v>6030</v>
      </c>
      <c r="P30">
        <v>47.44</v>
      </c>
      <c r="Q30">
        <v>12710</v>
      </c>
      <c r="R30">
        <v>239960</v>
      </c>
      <c r="S30">
        <v>79100</v>
      </c>
      <c r="T30">
        <v>781.85</v>
      </c>
      <c r="U30">
        <v>772.45</v>
      </c>
      <c r="V30">
        <v>790.8</v>
      </c>
      <c r="W30">
        <v>-294</v>
      </c>
      <c r="X30">
        <v>-27.1</v>
      </c>
      <c r="Y30" t="s">
        <v>2</v>
      </c>
      <c r="Z30" t="s">
        <v>466</v>
      </c>
      <c r="AA30">
        <v>460</v>
      </c>
      <c r="AB30">
        <v>460</v>
      </c>
      <c r="AC30">
        <v>0</v>
      </c>
      <c r="AD30">
        <v>0</v>
      </c>
      <c r="AE30">
        <v>1210</v>
      </c>
    </row>
    <row r="31" spans="1:31" x14ac:dyDescent="0.25">
      <c r="F31">
        <v>26</v>
      </c>
      <c r="G31">
        <v>151.65</v>
      </c>
      <c r="H31">
        <v>150.69999999999999</v>
      </c>
      <c r="I31">
        <v>149.75</v>
      </c>
      <c r="J31">
        <v>88.9</v>
      </c>
      <c r="K31">
        <v>146.1</v>
      </c>
      <c r="L31" t="s">
        <v>1</v>
      </c>
      <c r="M31" t="s">
        <v>467</v>
      </c>
      <c r="N31">
        <v>18520</v>
      </c>
      <c r="O31">
        <v>8860</v>
      </c>
      <c r="P31">
        <v>91.72</v>
      </c>
      <c r="Q31">
        <v>9660</v>
      </c>
      <c r="R31">
        <v>233080</v>
      </c>
      <c r="S31">
        <v>79200</v>
      </c>
      <c r="T31">
        <v>861.85</v>
      </c>
      <c r="U31">
        <v>850.1</v>
      </c>
      <c r="V31">
        <v>849.85</v>
      </c>
      <c r="W31">
        <v>-320.45</v>
      </c>
      <c r="X31">
        <v>-27.38</v>
      </c>
      <c r="Y31" t="s">
        <v>2</v>
      </c>
      <c r="Z31" t="s">
        <v>468</v>
      </c>
      <c r="AA31">
        <v>530</v>
      </c>
      <c r="AB31">
        <v>530</v>
      </c>
      <c r="AC31">
        <v>0</v>
      </c>
      <c r="AD31">
        <v>0</v>
      </c>
      <c r="AE31">
        <v>1250</v>
      </c>
    </row>
    <row r="32" spans="1:31" x14ac:dyDescent="0.25">
      <c r="F32">
        <v>27</v>
      </c>
      <c r="G32">
        <v>131.35</v>
      </c>
      <c r="H32">
        <v>130.69999999999999</v>
      </c>
      <c r="I32">
        <v>129.44999999999999</v>
      </c>
      <c r="J32">
        <v>77.150000000000006</v>
      </c>
      <c r="K32">
        <v>147.51</v>
      </c>
      <c r="L32" t="s">
        <v>1</v>
      </c>
      <c r="M32" t="s">
        <v>469</v>
      </c>
      <c r="N32">
        <v>21570</v>
      </c>
      <c r="O32">
        <v>16080</v>
      </c>
      <c r="P32">
        <v>292.89999999999998</v>
      </c>
      <c r="Q32">
        <v>5490</v>
      </c>
      <c r="R32">
        <v>299140</v>
      </c>
      <c r="S32">
        <v>79300</v>
      </c>
      <c r="T32">
        <v>936.25</v>
      </c>
      <c r="U32">
        <v>930.55</v>
      </c>
      <c r="V32">
        <v>960</v>
      </c>
      <c r="W32">
        <v>-298</v>
      </c>
      <c r="X32">
        <v>-23.69</v>
      </c>
      <c r="Y32" t="s">
        <v>2</v>
      </c>
      <c r="Z32" t="s">
        <v>470</v>
      </c>
      <c r="AA32">
        <v>290</v>
      </c>
      <c r="AB32">
        <v>290</v>
      </c>
      <c r="AC32">
        <v>0</v>
      </c>
      <c r="AD32">
        <v>0</v>
      </c>
      <c r="AE32">
        <v>370</v>
      </c>
    </row>
    <row r="33" spans="6:31" x14ac:dyDescent="0.25">
      <c r="F33">
        <v>28</v>
      </c>
      <c r="G33">
        <v>114.35</v>
      </c>
      <c r="H33">
        <v>113.7</v>
      </c>
      <c r="I33">
        <v>112.5</v>
      </c>
      <c r="J33">
        <v>67.5</v>
      </c>
      <c r="K33">
        <v>150</v>
      </c>
      <c r="L33" t="s">
        <v>1</v>
      </c>
      <c r="M33" t="s">
        <v>471</v>
      </c>
      <c r="N33">
        <v>12080</v>
      </c>
      <c r="O33">
        <v>1480</v>
      </c>
      <c r="P33">
        <v>13.96</v>
      </c>
      <c r="Q33">
        <v>10600</v>
      </c>
      <c r="R33">
        <v>278410</v>
      </c>
      <c r="S33">
        <v>79400</v>
      </c>
      <c r="T33">
        <v>1022.8</v>
      </c>
      <c r="U33">
        <v>1012.45</v>
      </c>
      <c r="V33">
        <v>1043.55</v>
      </c>
      <c r="W33">
        <v>-304</v>
      </c>
      <c r="X33">
        <v>-22.56</v>
      </c>
      <c r="Y33" t="s">
        <v>2</v>
      </c>
      <c r="Z33" t="s">
        <v>472</v>
      </c>
      <c r="AA33">
        <v>270</v>
      </c>
      <c r="AB33">
        <v>270</v>
      </c>
      <c r="AC33">
        <v>0</v>
      </c>
      <c r="AD33">
        <v>0</v>
      </c>
      <c r="AE33">
        <v>290</v>
      </c>
    </row>
    <row r="34" spans="6:31" x14ac:dyDescent="0.25">
      <c r="F34">
        <v>29</v>
      </c>
      <c r="G34">
        <v>99</v>
      </c>
      <c r="H34">
        <v>98.65</v>
      </c>
      <c r="I34">
        <v>97.55</v>
      </c>
      <c r="J34">
        <v>58.7</v>
      </c>
      <c r="K34">
        <v>151.09</v>
      </c>
      <c r="L34" t="s">
        <v>1</v>
      </c>
      <c r="M34" t="s">
        <v>473</v>
      </c>
      <c r="N34">
        <v>58370</v>
      </c>
      <c r="O34">
        <v>-1110</v>
      </c>
      <c r="P34">
        <v>-1.87</v>
      </c>
      <c r="Q34">
        <v>59480</v>
      </c>
      <c r="R34">
        <v>694200</v>
      </c>
      <c r="S34">
        <v>79500</v>
      </c>
      <c r="T34">
        <v>1107.05</v>
      </c>
      <c r="U34">
        <v>1097.9000000000001</v>
      </c>
      <c r="V34">
        <v>1104.55</v>
      </c>
      <c r="W34">
        <v>-334.25</v>
      </c>
      <c r="X34">
        <v>-23.23</v>
      </c>
      <c r="Y34" t="s">
        <v>2</v>
      </c>
      <c r="Z34" t="s">
        <v>474</v>
      </c>
      <c r="AA34">
        <v>400</v>
      </c>
      <c r="AB34">
        <v>400</v>
      </c>
      <c r="AC34">
        <v>0</v>
      </c>
      <c r="AD34">
        <v>0</v>
      </c>
      <c r="AE34">
        <v>520</v>
      </c>
    </row>
    <row r="35" spans="6:31" x14ac:dyDescent="0.25">
      <c r="F35">
        <v>30</v>
      </c>
      <c r="G35">
        <v>86.45</v>
      </c>
      <c r="H35">
        <v>85.95</v>
      </c>
      <c r="I35">
        <v>85.25</v>
      </c>
      <c r="J35">
        <v>52</v>
      </c>
      <c r="K35">
        <v>156.38999999999999</v>
      </c>
      <c r="L35" t="s">
        <v>1</v>
      </c>
      <c r="M35" t="s">
        <v>475</v>
      </c>
      <c r="N35">
        <v>25000</v>
      </c>
      <c r="O35">
        <v>17200</v>
      </c>
      <c r="P35">
        <v>220.51</v>
      </c>
      <c r="Q35">
        <v>7800</v>
      </c>
      <c r="R35">
        <v>341200</v>
      </c>
      <c r="S35">
        <v>79600</v>
      </c>
      <c r="T35">
        <v>1196.55</v>
      </c>
      <c r="U35">
        <v>1178.4000000000001</v>
      </c>
      <c r="V35">
        <v>1183.0999999999999</v>
      </c>
      <c r="W35">
        <v>-348.4</v>
      </c>
      <c r="X35">
        <v>-22.75</v>
      </c>
      <c r="Y35" t="s">
        <v>2</v>
      </c>
      <c r="Z35" t="s">
        <v>476</v>
      </c>
      <c r="AA35">
        <v>240</v>
      </c>
      <c r="AB35">
        <v>240</v>
      </c>
      <c r="AC35">
        <v>0</v>
      </c>
      <c r="AD35">
        <v>0</v>
      </c>
      <c r="AE35">
        <v>250</v>
      </c>
    </row>
    <row r="36" spans="6:31" x14ac:dyDescent="0.25">
      <c r="F36">
        <v>31</v>
      </c>
      <c r="G36">
        <v>74.95</v>
      </c>
      <c r="H36">
        <v>74.45</v>
      </c>
      <c r="I36">
        <v>73.45</v>
      </c>
      <c r="J36">
        <v>44.7</v>
      </c>
      <c r="K36">
        <v>155.47999999999999</v>
      </c>
      <c r="L36" t="s">
        <v>1</v>
      </c>
      <c r="M36" t="s">
        <v>477</v>
      </c>
      <c r="N36">
        <v>26030</v>
      </c>
      <c r="O36">
        <v>21010</v>
      </c>
      <c r="P36">
        <v>418.53</v>
      </c>
      <c r="Q36">
        <v>5020</v>
      </c>
      <c r="R36">
        <v>403880</v>
      </c>
      <c r="S36">
        <v>79700</v>
      </c>
      <c r="T36">
        <v>0</v>
      </c>
      <c r="U36">
        <v>0</v>
      </c>
      <c r="V36">
        <v>0</v>
      </c>
      <c r="W36">
        <v>0</v>
      </c>
      <c r="X36">
        <v>0</v>
      </c>
      <c r="Y36" t="s">
        <v>2</v>
      </c>
      <c r="Z36" t="s">
        <v>478</v>
      </c>
      <c r="AA36">
        <v>0</v>
      </c>
      <c r="AB36">
        <v>0</v>
      </c>
      <c r="AC36">
        <v>0</v>
      </c>
      <c r="AD36">
        <v>0</v>
      </c>
      <c r="AE36">
        <v>0</v>
      </c>
    </row>
    <row r="37" spans="6:31" x14ac:dyDescent="0.25">
      <c r="F37">
        <v>32</v>
      </c>
      <c r="G37">
        <v>64.849999999999994</v>
      </c>
      <c r="H37">
        <v>64.400000000000006</v>
      </c>
      <c r="I37">
        <v>64.150000000000006</v>
      </c>
      <c r="J37">
        <v>39.65</v>
      </c>
      <c r="K37">
        <v>161.84</v>
      </c>
      <c r="L37" t="s">
        <v>1</v>
      </c>
      <c r="M37" t="s">
        <v>479</v>
      </c>
      <c r="N37">
        <v>18870</v>
      </c>
      <c r="O37">
        <v>11530</v>
      </c>
      <c r="P37">
        <v>157.08000000000001</v>
      </c>
      <c r="Q37">
        <v>7340</v>
      </c>
      <c r="R37">
        <v>319260</v>
      </c>
      <c r="S37">
        <v>79800</v>
      </c>
      <c r="T37">
        <v>0</v>
      </c>
      <c r="U37">
        <v>0</v>
      </c>
      <c r="V37">
        <v>0</v>
      </c>
      <c r="W37">
        <v>0</v>
      </c>
      <c r="X37">
        <v>0</v>
      </c>
      <c r="Y37" t="s">
        <v>2</v>
      </c>
      <c r="Z37" t="s">
        <v>480</v>
      </c>
      <c r="AA37">
        <v>0</v>
      </c>
      <c r="AB37">
        <v>0</v>
      </c>
      <c r="AC37">
        <v>0</v>
      </c>
      <c r="AD37">
        <v>0</v>
      </c>
      <c r="AE37">
        <v>0</v>
      </c>
    </row>
    <row r="38" spans="6:31" x14ac:dyDescent="0.25">
      <c r="F38">
        <v>33</v>
      </c>
      <c r="G38">
        <v>56</v>
      </c>
      <c r="H38">
        <v>55.8</v>
      </c>
      <c r="I38">
        <v>55.15</v>
      </c>
      <c r="J38">
        <v>33.700000000000003</v>
      </c>
      <c r="K38">
        <v>157.11000000000001</v>
      </c>
      <c r="L38" t="s">
        <v>1</v>
      </c>
      <c r="M38" t="s">
        <v>481</v>
      </c>
      <c r="N38">
        <v>29090</v>
      </c>
      <c r="O38">
        <v>9230</v>
      </c>
      <c r="P38">
        <v>46.48</v>
      </c>
      <c r="Q38">
        <v>19860</v>
      </c>
      <c r="R38">
        <v>353830</v>
      </c>
      <c r="S38">
        <v>79900</v>
      </c>
      <c r="T38">
        <v>0</v>
      </c>
      <c r="U38">
        <v>0</v>
      </c>
      <c r="V38">
        <v>0</v>
      </c>
      <c r="W38">
        <v>0</v>
      </c>
      <c r="X38">
        <v>0</v>
      </c>
      <c r="Y38" t="s">
        <v>2</v>
      </c>
      <c r="Z38" t="s">
        <v>482</v>
      </c>
      <c r="AA38">
        <v>0</v>
      </c>
      <c r="AB38">
        <v>0</v>
      </c>
      <c r="AC38">
        <v>0</v>
      </c>
      <c r="AD38">
        <v>0</v>
      </c>
      <c r="AE38">
        <v>0</v>
      </c>
    </row>
    <row r="39" spans="6:31" x14ac:dyDescent="0.25">
      <c r="F39">
        <v>34</v>
      </c>
      <c r="G39">
        <v>48.2</v>
      </c>
      <c r="H39">
        <v>47.9</v>
      </c>
      <c r="I39">
        <v>48.15</v>
      </c>
      <c r="J39">
        <v>29.45</v>
      </c>
      <c r="K39">
        <v>157.49</v>
      </c>
      <c r="L39" t="s">
        <v>1</v>
      </c>
      <c r="M39" t="s">
        <v>483</v>
      </c>
      <c r="N39">
        <v>165470</v>
      </c>
      <c r="O39">
        <v>100090</v>
      </c>
      <c r="P39">
        <v>153.09</v>
      </c>
      <c r="Q39">
        <v>65380</v>
      </c>
      <c r="R39">
        <v>1762410</v>
      </c>
      <c r="S39">
        <v>80000</v>
      </c>
      <c r="T39">
        <v>0</v>
      </c>
      <c r="U39">
        <v>1200</v>
      </c>
      <c r="V39">
        <v>0</v>
      </c>
      <c r="W39">
        <v>0</v>
      </c>
      <c r="X39">
        <v>0</v>
      </c>
      <c r="Y39" t="s">
        <v>2</v>
      </c>
      <c r="Z39" t="s">
        <v>484</v>
      </c>
      <c r="AA39">
        <v>0</v>
      </c>
      <c r="AB39">
        <v>0</v>
      </c>
      <c r="AC39">
        <v>0</v>
      </c>
      <c r="AD39">
        <v>0</v>
      </c>
      <c r="AE39">
        <v>0</v>
      </c>
    </row>
    <row r="40" spans="6:31" x14ac:dyDescent="0.25">
      <c r="F40">
        <v>35</v>
      </c>
      <c r="G40">
        <v>42</v>
      </c>
      <c r="H40">
        <v>41.5</v>
      </c>
      <c r="I40">
        <v>41.05</v>
      </c>
      <c r="J40">
        <v>24.45</v>
      </c>
      <c r="K40">
        <v>147.29</v>
      </c>
      <c r="L40" t="s">
        <v>1</v>
      </c>
      <c r="M40" t="s">
        <v>485</v>
      </c>
      <c r="N40">
        <v>13310</v>
      </c>
      <c r="O40">
        <v>13160</v>
      </c>
      <c r="P40">
        <v>8773.33</v>
      </c>
      <c r="Q40">
        <v>150</v>
      </c>
      <c r="R40">
        <v>254370</v>
      </c>
      <c r="S40">
        <v>80100</v>
      </c>
      <c r="T40">
        <v>0</v>
      </c>
      <c r="U40">
        <v>0</v>
      </c>
      <c r="V40">
        <v>0</v>
      </c>
      <c r="W40">
        <v>0</v>
      </c>
      <c r="X40">
        <v>0</v>
      </c>
      <c r="Y40" t="s">
        <v>2</v>
      </c>
      <c r="Z40" t="s">
        <v>486</v>
      </c>
      <c r="AA40">
        <v>0</v>
      </c>
      <c r="AB40">
        <v>0</v>
      </c>
      <c r="AC40">
        <v>0</v>
      </c>
      <c r="AD40">
        <v>0</v>
      </c>
      <c r="AE40">
        <v>0</v>
      </c>
    </row>
    <row r="41" spans="6:31" x14ac:dyDescent="0.25">
      <c r="F41">
        <v>36</v>
      </c>
      <c r="G41">
        <v>36.700000000000003</v>
      </c>
      <c r="H41">
        <v>36.25</v>
      </c>
      <c r="I41">
        <v>36.700000000000003</v>
      </c>
      <c r="J41">
        <v>22.95</v>
      </c>
      <c r="K41">
        <v>166.91</v>
      </c>
      <c r="L41" t="s">
        <v>1</v>
      </c>
      <c r="M41" t="s">
        <v>487</v>
      </c>
      <c r="N41">
        <v>26060</v>
      </c>
      <c r="O41">
        <v>23950</v>
      </c>
      <c r="P41">
        <v>1135.07</v>
      </c>
      <c r="Q41">
        <v>2110</v>
      </c>
      <c r="R41">
        <v>375800</v>
      </c>
      <c r="S41">
        <v>80200</v>
      </c>
      <c r="T41">
        <v>0</v>
      </c>
      <c r="U41">
        <v>0</v>
      </c>
      <c r="V41">
        <v>0</v>
      </c>
      <c r="W41">
        <v>0</v>
      </c>
      <c r="X41">
        <v>0</v>
      </c>
      <c r="Y41" t="s">
        <v>2</v>
      </c>
      <c r="Z41" t="s">
        <v>488</v>
      </c>
      <c r="AA41">
        <v>0</v>
      </c>
      <c r="AB41">
        <v>0</v>
      </c>
      <c r="AC41">
        <v>0</v>
      </c>
      <c r="AD41">
        <v>0</v>
      </c>
      <c r="AE41">
        <v>0</v>
      </c>
    </row>
    <row r="42" spans="6:31" x14ac:dyDescent="0.25">
      <c r="F42">
        <v>37</v>
      </c>
      <c r="G42">
        <v>31.55</v>
      </c>
      <c r="H42">
        <v>30.95</v>
      </c>
      <c r="I42">
        <v>31.5</v>
      </c>
      <c r="J42">
        <v>26.5</v>
      </c>
      <c r="K42">
        <v>530</v>
      </c>
      <c r="L42" t="s">
        <v>1</v>
      </c>
      <c r="M42" t="s">
        <v>501</v>
      </c>
      <c r="N42">
        <v>7360</v>
      </c>
      <c r="O42">
        <v>7360</v>
      </c>
      <c r="P42">
        <v>0</v>
      </c>
      <c r="Q42">
        <v>0</v>
      </c>
      <c r="R42">
        <v>37230</v>
      </c>
      <c r="S42">
        <v>80300</v>
      </c>
      <c r="T42">
        <v>0</v>
      </c>
      <c r="U42">
        <v>0</v>
      </c>
      <c r="V42">
        <v>0</v>
      </c>
      <c r="W42">
        <v>0</v>
      </c>
      <c r="X42">
        <v>0</v>
      </c>
      <c r="Y42" t="s">
        <v>2</v>
      </c>
      <c r="Z42" t="s">
        <v>502</v>
      </c>
      <c r="AA42">
        <v>0</v>
      </c>
      <c r="AB42">
        <v>0</v>
      </c>
      <c r="AC42">
        <v>0</v>
      </c>
      <c r="AD42">
        <v>0</v>
      </c>
      <c r="AE42">
        <v>0</v>
      </c>
    </row>
    <row r="43" spans="6:31" x14ac:dyDescent="0.25">
      <c r="F43">
        <v>38</v>
      </c>
      <c r="G43">
        <v>46.15</v>
      </c>
      <c r="H43">
        <v>15.4</v>
      </c>
      <c r="I43">
        <v>0</v>
      </c>
      <c r="J43">
        <v>0</v>
      </c>
      <c r="K43">
        <v>0</v>
      </c>
      <c r="L43" t="s">
        <v>1</v>
      </c>
      <c r="M43" t="s">
        <v>503</v>
      </c>
      <c r="N43">
        <v>0</v>
      </c>
      <c r="O43">
        <v>0</v>
      </c>
      <c r="P43">
        <v>0</v>
      </c>
      <c r="Q43">
        <v>0</v>
      </c>
      <c r="R43">
        <v>0</v>
      </c>
      <c r="S43">
        <v>80400</v>
      </c>
      <c r="T43">
        <v>0</v>
      </c>
      <c r="U43">
        <v>0</v>
      </c>
      <c r="V43">
        <v>0</v>
      </c>
      <c r="W43">
        <v>0</v>
      </c>
      <c r="X43">
        <v>0</v>
      </c>
      <c r="Y43" t="s">
        <v>2</v>
      </c>
      <c r="Z43" t="s">
        <v>504</v>
      </c>
      <c r="AA43">
        <v>0</v>
      </c>
      <c r="AB43">
        <v>0</v>
      </c>
      <c r="AC43">
        <v>0</v>
      </c>
      <c r="AD43">
        <v>0</v>
      </c>
      <c r="AE43">
        <v>0</v>
      </c>
    </row>
    <row r="44" spans="6:31" x14ac:dyDescent="0.25">
      <c r="F44">
        <v>39</v>
      </c>
      <c r="G44">
        <v>23.9</v>
      </c>
      <c r="H44">
        <v>23.65</v>
      </c>
      <c r="I44">
        <v>24.2</v>
      </c>
      <c r="J44">
        <v>14.45</v>
      </c>
      <c r="K44">
        <v>148.21</v>
      </c>
      <c r="L44" t="s">
        <v>1</v>
      </c>
      <c r="M44" t="s">
        <v>579</v>
      </c>
      <c r="N44">
        <v>98690</v>
      </c>
      <c r="O44">
        <v>32350</v>
      </c>
      <c r="P44">
        <v>48.76</v>
      </c>
      <c r="Q44">
        <v>66340</v>
      </c>
      <c r="R44">
        <v>734340</v>
      </c>
      <c r="S44">
        <v>80500</v>
      </c>
      <c r="T44">
        <v>0</v>
      </c>
      <c r="U44">
        <v>0</v>
      </c>
      <c r="V44">
        <v>0</v>
      </c>
      <c r="W44">
        <v>0</v>
      </c>
      <c r="X44">
        <v>0</v>
      </c>
      <c r="Y44" t="s">
        <v>2</v>
      </c>
      <c r="Z44" t="s">
        <v>580</v>
      </c>
      <c r="AA44">
        <v>0</v>
      </c>
      <c r="AB44">
        <v>0</v>
      </c>
      <c r="AC44">
        <v>0</v>
      </c>
      <c r="AD44">
        <v>0</v>
      </c>
      <c r="AE44">
        <v>0</v>
      </c>
    </row>
    <row r="45" spans="6:31" x14ac:dyDescent="0.25">
      <c r="F45">
        <v>40</v>
      </c>
      <c r="G45">
        <v>20.9</v>
      </c>
      <c r="H45">
        <v>20.65</v>
      </c>
      <c r="I45">
        <v>21</v>
      </c>
      <c r="J45">
        <v>11.65</v>
      </c>
      <c r="K45">
        <v>124.6</v>
      </c>
      <c r="L45" t="s">
        <v>1</v>
      </c>
      <c r="M45" t="s">
        <v>581</v>
      </c>
      <c r="N45">
        <v>15270</v>
      </c>
      <c r="O45">
        <v>8360</v>
      </c>
      <c r="P45">
        <v>120.98</v>
      </c>
      <c r="Q45">
        <v>6910</v>
      </c>
      <c r="R45">
        <v>138890</v>
      </c>
      <c r="S45">
        <v>80600</v>
      </c>
      <c r="T45">
        <v>0</v>
      </c>
      <c r="U45">
        <v>0</v>
      </c>
      <c r="V45">
        <v>0</v>
      </c>
      <c r="W45">
        <v>0</v>
      </c>
      <c r="X45">
        <v>0</v>
      </c>
      <c r="Y45" t="s">
        <v>2</v>
      </c>
      <c r="Z45" t="s">
        <v>582</v>
      </c>
      <c r="AA45">
        <v>0</v>
      </c>
      <c r="AB45">
        <v>0</v>
      </c>
      <c r="AC45">
        <v>0</v>
      </c>
      <c r="AD45">
        <v>0</v>
      </c>
      <c r="AE45">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C5924-0BB8-4E46-93A7-631ED71B2967}">
  <dimension ref="A1:AE45"/>
  <sheetViews>
    <sheetView workbookViewId="0">
      <selection activeCell="E11" sqref="E11"/>
    </sheetView>
  </sheetViews>
  <sheetFormatPr defaultRowHeight="15" x14ac:dyDescent="0.25"/>
  <cols>
    <col min="2" max="2" width="15.5703125" bestFit="1" customWidth="1"/>
  </cols>
  <sheetData>
    <row r="1" spans="1:31" x14ac:dyDescent="0.25">
      <c r="A1" t="s">
        <v>0</v>
      </c>
      <c r="B1" t="s">
        <v>1</v>
      </c>
      <c r="C1" t="s">
        <v>2</v>
      </c>
      <c r="N1" t="s">
        <v>148</v>
      </c>
      <c r="O1" t="s">
        <v>149</v>
      </c>
      <c r="P1" t="s">
        <v>150</v>
      </c>
    </row>
    <row r="2" spans="1:31" x14ac:dyDescent="0.25">
      <c r="A2" t="s">
        <v>3</v>
      </c>
      <c r="B2" t="s">
        <v>76</v>
      </c>
      <c r="N2">
        <v>60194.64</v>
      </c>
      <c r="O2">
        <v>14.23</v>
      </c>
      <c r="P2">
        <v>1.0128786693779654</v>
      </c>
    </row>
    <row r="3" spans="1:31" x14ac:dyDescent="0.25">
      <c r="A3" t="s">
        <v>5</v>
      </c>
      <c r="B3" s="1">
        <v>45427</v>
      </c>
    </row>
    <row r="4" spans="1:31" x14ac:dyDescent="0.25">
      <c r="A4" t="s">
        <v>6</v>
      </c>
      <c r="B4" s="2">
        <f ca="1">NOW()</f>
        <v>45469.571693981481</v>
      </c>
      <c r="G4" t="s">
        <v>151</v>
      </c>
      <c r="H4" t="s">
        <v>152</v>
      </c>
      <c r="I4" t="s">
        <v>153</v>
      </c>
      <c r="J4" t="s">
        <v>154</v>
      </c>
      <c r="K4" t="s">
        <v>155</v>
      </c>
      <c r="L4" t="s">
        <v>156</v>
      </c>
      <c r="M4" t="s">
        <v>157</v>
      </c>
      <c r="N4" t="s">
        <v>158</v>
      </c>
      <c r="O4" t="s">
        <v>159</v>
      </c>
      <c r="P4" t="s">
        <v>160</v>
      </c>
      <c r="Q4" t="s">
        <v>161</v>
      </c>
      <c r="R4" t="s">
        <v>162</v>
      </c>
      <c r="S4" t="s">
        <v>53</v>
      </c>
      <c r="T4" t="s">
        <v>163</v>
      </c>
      <c r="U4" t="s">
        <v>164</v>
      </c>
      <c r="V4" t="s">
        <v>165</v>
      </c>
      <c r="W4" t="s">
        <v>166</v>
      </c>
      <c r="X4" t="s">
        <v>167</v>
      </c>
      <c r="Y4" t="s">
        <v>168</v>
      </c>
      <c r="Z4" t="s">
        <v>169</v>
      </c>
      <c r="AA4" t="s">
        <v>170</v>
      </c>
      <c r="AB4" t="s">
        <v>171</v>
      </c>
      <c r="AC4" t="s">
        <v>172</v>
      </c>
      <c r="AD4" t="s">
        <v>173</v>
      </c>
      <c r="AE4" t="s">
        <v>174</v>
      </c>
    </row>
    <row r="5" spans="1:31" x14ac:dyDescent="0.25">
      <c r="A5" t="s">
        <v>7</v>
      </c>
      <c r="B5">
        <v>47754.1</v>
      </c>
      <c r="C5">
        <v>48075</v>
      </c>
      <c r="F5">
        <v>0</v>
      </c>
      <c r="G5">
        <v>2016.65</v>
      </c>
      <c r="H5">
        <v>1966.6</v>
      </c>
      <c r="I5">
        <v>1940</v>
      </c>
      <c r="J5">
        <v>960.8</v>
      </c>
      <c r="K5">
        <v>98.12</v>
      </c>
      <c r="L5" t="s">
        <v>1</v>
      </c>
      <c r="M5" t="s">
        <v>365</v>
      </c>
      <c r="N5">
        <v>195</v>
      </c>
      <c r="O5">
        <v>-45</v>
      </c>
      <c r="P5">
        <v>-18.75</v>
      </c>
      <c r="Q5">
        <v>240</v>
      </c>
      <c r="R5">
        <v>90</v>
      </c>
      <c r="S5">
        <v>58200</v>
      </c>
      <c r="T5">
        <v>56.85</v>
      </c>
      <c r="U5">
        <v>55.15</v>
      </c>
      <c r="V5">
        <v>58.1</v>
      </c>
      <c r="W5">
        <v>-40.299999999999997</v>
      </c>
      <c r="X5">
        <v>-40.96</v>
      </c>
      <c r="Y5" t="s">
        <v>2</v>
      </c>
      <c r="Z5" t="s">
        <v>366</v>
      </c>
      <c r="AA5">
        <v>3105</v>
      </c>
      <c r="AB5">
        <v>480</v>
      </c>
      <c r="AC5">
        <v>18.29</v>
      </c>
      <c r="AD5">
        <v>2625</v>
      </c>
      <c r="AE5">
        <v>13110</v>
      </c>
    </row>
    <row r="6" spans="1:31" x14ac:dyDescent="0.25">
      <c r="A6" t="s">
        <v>8</v>
      </c>
      <c r="B6">
        <v>47389.8</v>
      </c>
      <c r="C6">
        <v>47600</v>
      </c>
      <c r="F6">
        <v>1</v>
      </c>
      <c r="G6">
        <v>1918.8</v>
      </c>
      <c r="H6">
        <v>1871.05</v>
      </c>
      <c r="I6">
        <v>1525.95</v>
      </c>
      <c r="J6">
        <v>0</v>
      </c>
      <c r="K6">
        <v>0</v>
      </c>
      <c r="L6" t="s">
        <v>1</v>
      </c>
      <c r="M6" t="s">
        <v>367</v>
      </c>
      <c r="N6">
        <v>180</v>
      </c>
      <c r="O6">
        <v>0</v>
      </c>
      <c r="P6">
        <v>0</v>
      </c>
      <c r="Q6">
        <v>180</v>
      </c>
      <c r="R6">
        <v>0</v>
      </c>
      <c r="S6">
        <v>58300</v>
      </c>
      <c r="T6">
        <v>63.05</v>
      </c>
      <c r="U6">
        <v>60.95</v>
      </c>
      <c r="V6">
        <v>65.650000000000006</v>
      </c>
      <c r="W6">
        <v>-43.3</v>
      </c>
      <c r="X6">
        <v>-39.74</v>
      </c>
      <c r="Y6" t="s">
        <v>2</v>
      </c>
      <c r="Z6" t="s">
        <v>368</v>
      </c>
      <c r="AA6">
        <v>2340</v>
      </c>
      <c r="AB6">
        <v>-360</v>
      </c>
      <c r="AC6">
        <v>-13.33</v>
      </c>
      <c r="AD6">
        <v>2700</v>
      </c>
      <c r="AE6">
        <v>5580</v>
      </c>
    </row>
    <row r="7" spans="1:31" x14ac:dyDescent="0.25">
      <c r="A7" t="s">
        <v>9</v>
      </c>
      <c r="B7">
        <v>47841.599999999999</v>
      </c>
      <c r="C7">
        <v>48075</v>
      </c>
      <c r="F7">
        <v>2</v>
      </c>
      <c r="G7">
        <v>1826.55</v>
      </c>
      <c r="H7">
        <v>1777.55</v>
      </c>
      <c r="I7">
        <v>1200</v>
      </c>
      <c r="J7">
        <v>0</v>
      </c>
      <c r="K7">
        <v>0</v>
      </c>
      <c r="L7" t="s">
        <v>1</v>
      </c>
      <c r="M7" t="s">
        <v>369</v>
      </c>
      <c r="N7">
        <v>270</v>
      </c>
      <c r="O7">
        <v>0</v>
      </c>
      <c r="P7">
        <v>0</v>
      </c>
      <c r="Q7">
        <v>270</v>
      </c>
      <c r="R7">
        <v>0</v>
      </c>
      <c r="S7">
        <v>58400</v>
      </c>
      <c r="T7">
        <v>70</v>
      </c>
      <c r="U7">
        <v>68.3</v>
      </c>
      <c r="V7">
        <v>70</v>
      </c>
      <c r="W7">
        <v>-56.6</v>
      </c>
      <c r="X7">
        <v>-44.71</v>
      </c>
      <c r="Y7" t="s">
        <v>2</v>
      </c>
      <c r="Z7" t="s">
        <v>370</v>
      </c>
      <c r="AA7">
        <v>1605</v>
      </c>
      <c r="AB7">
        <v>105</v>
      </c>
      <c r="AC7">
        <v>7</v>
      </c>
      <c r="AD7">
        <v>1500</v>
      </c>
      <c r="AE7">
        <v>5820</v>
      </c>
    </row>
    <row r="8" spans="1:31" x14ac:dyDescent="0.25">
      <c r="A8" t="s">
        <v>10</v>
      </c>
      <c r="B8">
        <v>46983.25</v>
      </c>
      <c r="C8">
        <v>47200</v>
      </c>
      <c r="F8">
        <v>3</v>
      </c>
      <c r="G8">
        <v>1730.5</v>
      </c>
      <c r="H8">
        <v>1702.3</v>
      </c>
      <c r="I8">
        <v>1624</v>
      </c>
      <c r="J8">
        <v>253.65</v>
      </c>
      <c r="K8">
        <v>18.510000000000002</v>
      </c>
      <c r="L8" t="s">
        <v>1</v>
      </c>
      <c r="M8" t="s">
        <v>371</v>
      </c>
      <c r="N8">
        <v>4275</v>
      </c>
      <c r="O8">
        <v>-675</v>
      </c>
      <c r="P8">
        <v>-13.64</v>
      </c>
      <c r="Q8">
        <v>4950</v>
      </c>
      <c r="R8">
        <v>1410</v>
      </c>
      <c r="S8">
        <v>58500</v>
      </c>
      <c r="T8">
        <v>76.5</v>
      </c>
      <c r="U8">
        <v>75.05</v>
      </c>
      <c r="V8">
        <v>79.150000000000006</v>
      </c>
      <c r="W8">
        <v>-59.4</v>
      </c>
      <c r="X8">
        <v>-42.87</v>
      </c>
      <c r="Y8" t="s">
        <v>2</v>
      </c>
      <c r="Z8" t="s">
        <v>372</v>
      </c>
      <c r="AA8">
        <v>14190</v>
      </c>
      <c r="AB8">
        <v>1965</v>
      </c>
      <c r="AC8">
        <v>16.07</v>
      </c>
      <c r="AD8">
        <v>12225</v>
      </c>
      <c r="AE8">
        <v>56940</v>
      </c>
    </row>
    <row r="9" spans="1:31" x14ac:dyDescent="0.25">
      <c r="A9" t="s">
        <v>11</v>
      </c>
      <c r="B9">
        <v>47421.1</v>
      </c>
      <c r="C9">
        <v>47607.25</v>
      </c>
      <c r="F9">
        <v>4</v>
      </c>
      <c r="G9">
        <v>1646.75</v>
      </c>
      <c r="H9">
        <v>1599.5</v>
      </c>
      <c r="I9">
        <v>1581</v>
      </c>
      <c r="J9">
        <v>278.95</v>
      </c>
      <c r="K9">
        <v>21.42</v>
      </c>
      <c r="L9" t="s">
        <v>1</v>
      </c>
      <c r="M9" t="s">
        <v>373</v>
      </c>
      <c r="N9">
        <v>690</v>
      </c>
      <c r="O9">
        <v>-30</v>
      </c>
      <c r="P9">
        <v>-4.17</v>
      </c>
      <c r="Q9">
        <v>720</v>
      </c>
      <c r="R9">
        <v>105</v>
      </c>
      <c r="S9">
        <v>58600</v>
      </c>
      <c r="T9">
        <v>86.15</v>
      </c>
      <c r="U9">
        <v>83.8</v>
      </c>
      <c r="V9">
        <v>87.3</v>
      </c>
      <c r="W9">
        <v>-63.2</v>
      </c>
      <c r="X9">
        <v>-41.99</v>
      </c>
      <c r="Y9" t="s">
        <v>2</v>
      </c>
      <c r="Z9" t="s">
        <v>374</v>
      </c>
      <c r="AA9">
        <v>5100</v>
      </c>
      <c r="AB9">
        <v>2805</v>
      </c>
      <c r="AC9">
        <v>122.22</v>
      </c>
      <c r="AD9">
        <v>2295</v>
      </c>
      <c r="AE9">
        <v>12075</v>
      </c>
    </row>
    <row r="10" spans="1:31" x14ac:dyDescent="0.25">
      <c r="A10" t="s">
        <v>12</v>
      </c>
      <c r="B10">
        <v>156036</v>
      </c>
      <c r="F10">
        <v>5</v>
      </c>
      <c r="G10">
        <v>1540.6</v>
      </c>
      <c r="H10">
        <v>1506.05</v>
      </c>
      <c r="I10">
        <v>1342.8</v>
      </c>
      <c r="J10">
        <v>94.6</v>
      </c>
      <c r="K10">
        <v>7.58</v>
      </c>
      <c r="L10" t="s">
        <v>1</v>
      </c>
      <c r="M10" t="s">
        <v>375</v>
      </c>
      <c r="N10">
        <v>780</v>
      </c>
      <c r="O10">
        <v>-225</v>
      </c>
      <c r="P10">
        <v>-22.39</v>
      </c>
      <c r="Q10">
        <v>1005</v>
      </c>
      <c r="R10">
        <v>360</v>
      </c>
      <c r="S10">
        <v>58700</v>
      </c>
      <c r="T10">
        <v>96</v>
      </c>
      <c r="U10">
        <v>94.5</v>
      </c>
      <c r="V10">
        <v>95.65</v>
      </c>
      <c r="W10">
        <v>-73</v>
      </c>
      <c r="X10">
        <v>-43.28</v>
      </c>
      <c r="Y10" t="s">
        <v>2</v>
      </c>
      <c r="Z10" t="s">
        <v>376</v>
      </c>
      <c r="AA10">
        <v>3285</v>
      </c>
      <c r="AB10">
        <v>870</v>
      </c>
      <c r="AC10">
        <v>36.020000000000003</v>
      </c>
      <c r="AD10">
        <v>2415</v>
      </c>
      <c r="AE10">
        <v>12255</v>
      </c>
    </row>
    <row r="11" spans="1:31" x14ac:dyDescent="0.25">
      <c r="A11" t="s">
        <v>13</v>
      </c>
      <c r="B11">
        <v>48000</v>
      </c>
      <c r="F11">
        <v>6</v>
      </c>
      <c r="G11">
        <v>1469.2</v>
      </c>
      <c r="H11">
        <v>1409.6</v>
      </c>
      <c r="I11">
        <v>1435.2</v>
      </c>
      <c r="J11">
        <v>300.10000000000002</v>
      </c>
      <c r="K11">
        <v>26.44</v>
      </c>
      <c r="L11" t="s">
        <v>1</v>
      </c>
      <c r="M11" t="s">
        <v>377</v>
      </c>
      <c r="N11">
        <v>1380</v>
      </c>
      <c r="O11">
        <v>15</v>
      </c>
      <c r="P11">
        <v>1.1000000000000001</v>
      </c>
      <c r="Q11">
        <v>1365</v>
      </c>
      <c r="R11">
        <v>660</v>
      </c>
      <c r="S11">
        <v>58800</v>
      </c>
      <c r="T11">
        <v>105.6</v>
      </c>
      <c r="U11">
        <v>105</v>
      </c>
      <c r="V11">
        <v>107</v>
      </c>
      <c r="W11">
        <v>-86.65</v>
      </c>
      <c r="X11">
        <v>-44.75</v>
      </c>
      <c r="Y11" t="s">
        <v>2</v>
      </c>
      <c r="Z11" t="s">
        <v>378</v>
      </c>
      <c r="AA11">
        <v>7335</v>
      </c>
      <c r="AB11">
        <v>1605</v>
      </c>
      <c r="AC11">
        <v>28.01</v>
      </c>
      <c r="AD11">
        <v>5730</v>
      </c>
      <c r="AE11">
        <v>17355</v>
      </c>
    </row>
    <row r="12" spans="1:31" x14ac:dyDescent="0.25">
      <c r="A12" t="s">
        <v>14</v>
      </c>
      <c r="B12">
        <v>189.2</v>
      </c>
      <c r="C12">
        <v>337.85</v>
      </c>
      <c r="F12">
        <v>7</v>
      </c>
      <c r="G12">
        <v>1367.5</v>
      </c>
      <c r="H12">
        <v>1334.3</v>
      </c>
      <c r="I12">
        <v>1179.45</v>
      </c>
      <c r="J12">
        <v>138.55000000000001</v>
      </c>
      <c r="K12">
        <v>13.31</v>
      </c>
      <c r="L12" t="s">
        <v>1</v>
      </c>
      <c r="M12" t="s">
        <v>379</v>
      </c>
      <c r="N12">
        <v>1890</v>
      </c>
      <c r="O12">
        <v>-135</v>
      </c>
      <c r="P12">
        <v>-6.67</v>
      </c>
      <c r="Q12">
        <v>2025</v>
      </c>
      <c r="R12">
        <v>1545</v>
      </c>
      <c r="S12">
        <v>58900</v>
      </c>
      <c r="T12">
        <v>117.4</v>
      </c>
      <c r="U12">
        <v>114.5</v>
      </c>
      <c r="V12">
        <v>118.3</v>
      </c>
      <c r="W12">
        <v>-99.45</v>
      </c>
      <c r="X12">
        <v>-45.67</v>
      </c>
      <c r="Y12" t="s">
        <v>2</v>
      </c>
      <c r="Z12" t="s">
        <v>380</v>
      </c>
      <c r="AA12">
        <v>13830</v>
      </c>
      <c r="AB12">
        <v>-285</v>
      </c>
      <c r="AC12">
        <v>-2.02</v>
      </c>
      <c r="AD12">
        <v>14115</v>
      </c>
      <c r="AE12">
        <v>35235</v>
      </c>
    </row>
    <row r="13" spans="1:31" x14ac:dyDescent="0.25">
      <c r="A13" t="s">
        <v>15</v>
      </c>
      <c r="B13">
        <v>48100</v>
      </c>
      <c r="F13">
        <v>8</v>
      </c>
      <c r="G13">
        <v>1276.3</v>
      </c>
      <c r="H13">
        <v>1249.3</v>
      </c>
      <c r="I13">
        <v>1237.7</v>
      </c>
      <c r="J13">
        <v>293.5</v>
      </c>
      <c r="K13">
        <v>31.08</v>
      </c>
      <c r="L13" t="s">
        <v>1</v>
      </c>
      <c r="M13" t="s">
        <v>381</v>
      </c>
      <c r="N13">
        <v>15720</v>
      </c>
      <c r="O13">
        <v>-1020</v>
      </c>
      <c r="P13">
        <v>-6.09</v>
      </c>
      <c r="Q13">
        <v>16740</v>
      </c>
      <c r="R13">
        <v>9645</v>
      </c>
      <c r="S13">
        <v>59000</v>
      </c>
      <c r="T13">
        <v>127.95</v>
      </c>
      <c r="U13">
        <v>126.6</v>
      </c>
      <c r="V13">
        <v>130</v>
      </c>
      <c r="W13">
        <v>-106.55</v>
      </c>
      <c r="X13">
        <v>-45.04</v>
      </c>
      <c r="Y13" t="s">
        <v>2</v>
      </c>
      <c r="Z13" t="s">
        <v>382</v>
      </c>
      <c r="AA13">
        <v>33435</v>
      </c>
      <c r="AB13">
        <v>5220</v>
      </c>
      <c r="AC13">
        <v>18.5</v>
      </c>
      <c r="AD13">
        <v>28215</v>
      </c>
      <c r="AE13">
        <v>135525</v>
      </c>
    </row>
    <row r="14" spans="1:31" x14ac:dyDescent="0.25">
      <c r="A14" t="s">
        <v>16</v>
      </c>
      <c r="B14">
        <v>153.69999999999999</v>
      </c>
      <c r="C14">
        <v>399</v>
      </c>
      <c r="F14">
        <v>9</v>
      </c>
      <c r="G14">
        <v>1185.95</v>
      </c>
      <c r="H14">
        <v>1155.4000000000001</v>
      </c>
      <c r="I14">
        <v>1026.95</v>
      </c>
      <c r="J14">
        <v>139.55000000000001</v>
      </c>
      <c r="K14">
        <v>15.73</v>
      </c>
      <c r="L14" t="s">
        <v>1</v>
      </c>
      <c r="M14" t="s">
        <v>383</v>
      </c>
      <c r="N14">
        <v>1350</v>
      </c>
      <c r="O14">
        <v>-150</v>
      </c>
      <c r="P14">
        <v>-10</v>
      </c>
      <c r="Q14">
        <v>1500</v>
      </c>
      <c r="R14">
        <v>2685</v>
      </c>
      <c r="S14">
        <v>59100</v>
      </c>
      <c r="T14">
        <v>141.4</v>
      </c>
      <c r="U14">
        <v>139.19999999999999</v>
      </c>
      <c r="V14">
        <v>143.44999999999999</v>
      </c>
      <c r="W14">
        <v>-118.35</v>
      </c>
      <c r="X14">
        <v>-45.21</v>
      </c>
      <c r="Y14" t="s">
        <v>2</v>
      </c>
      <c r="Z14" t="s">
        <v>384</v>
      </c>
      <c r="AA14">
        <v>8220</v>
      </c>
      <c r="AB14">
        <v>-45</v>
      </c>
      <c r="AC14">
        <v>-0.54</v>
      </c>
      <c r="AD14">
        <v>8265</v>
      </c>
      <c r="AE14">
        <v>24780</v>
      </c>
    </row>
    <row r="15" spans="1:31" x14ac:dyDescent="0.25">
      <c r="A15" t="s">
        <v>17</v>
      </c>
      <c r="B15">
        <v>2846914</v>
      </c>
      <c r="C15">
        <v>2584448</v>
      </c>
      <c r="F15">
        <v>10</v>
      </c>
      <c r="G15">
        <v>1101.95</v>
      </c>
      <c r="H15">
        <v>1080.05</v>
      </c>
      <c r="I15">
        <v>1004.65</v>
      </c>
      <c r="J15">
        <v>179.65</v>
      </c>
      <c r="K15">
        <v>21.78</v>
      </c>
      <c r="L15" t="s">
        <v>1</v>
      </c>
      <c r="M15" t="s">
        <v>385</v>
      </c>
      <c r="N15">
        <v>2940</v>
      </c>
      <c r="O15">
        <v>-525</v>
      </c>
      <c r="P15">
        <v>-15.15</v>
      </c>
      <c r="Q15">
        <v>3465</v>
      </c>
      <c r="R15">
        <v>5940</v>
      </c>
      <c r="S15">
        <v>59200</v>
      </c>
      <c r="T15">
        <v>156.80000000000001</v>
      </c>
      <c r="U15">
        <v>155</v>
      </c>
      <c r="V15">
        <v>162.4</v>
      </c>
      <c r="W15">
        <v>-128.94999999999999</v>
      </c>
      <c r="X15">
        <v>-44.26</v>
      </c>
      <c r="Y15" t="s">
        <v>2</v>
      </c>
      <c r="Z15" t="s">
        <v>386</v>
      </c>
      <c r="AA15">
        <v>8685</v>
      </c>
      <c r="AB15">
        <v>-630</v>
      </c>
      <c r="AC15">
        <v>-6.76</v>
      </c>
      <c r="AD15">
        <v>9315</v>
      </c>
      <c r="AE15">
        <v>23490</v>
      </c>
    </row>
    <row r="16" spans="1:31" x14ac:dyDescent="0.25">
      <c r="A16" t="s">
        <v>18</v>
      </c>
      <c r="B16">
        <v>-211477</v>
      </c>
      <c r="C16">
        <v>586536</v>
      </c>
      <c r="F16">
        <v>11</v>
      </c>
      <c r="G16">
        <v>1023.5</v>
      </c>
      <c r="H16">
        <v>1001.1</v>
      </c>
      <c r="I16">
        <v>954.5</v>
      </c>
      <c r="J16">
        <v>196.2</v>
      </c>
      <c r="K16">
        <v>25.87</v>
      </c>
      <c r="L16" t="s">
        <v>1</v>
      </c>
      <c r="M16" t="s">
        <v>387</v>
      </c>
      <c r="N16">
        <v>5100</v>
      </c>
      <c r="O16">
        <v>1935</v>
      </c>
      <c r="P16">
        <v>61.14</v>
      </c>
      <c r="Q16">
        <v>3165</v>
      </c>
      <c r="R16">
        <v>7095</v>
      </c>
      <c r="S16">
        <v>59300</v>
      </c>
      <c r="T16">
        <v>173.4</v>
      </c>
      <c r="U16">
        <v>170.05</v>
      </c>
      <c r="V16">
        <v>178</v>
      </c>
      <c r="W16">
        <v>-141.44999999999999</v>
      </c>
      <c r="X16">
        <v>-44.28</v>
      </c>
      <c r="Y16" t="s">
        <v>2</v>
      </c>
      <c r="Z16" t="s">
        <v>388</v>
      </c>
      <c r="AA16">
        <v>5730</v>
      </c>
      <c r="AB16">
        <v>2835</v>
      </c>
      <c r="AC16">
        <v>97.93</v>
      </c>
      <c r="AD16">
        <v>2895</v>
      </c>
      <c r="AE16">
        <v>20070</v>
      </c>
    </row>
    <row r="17" spans="1:31" x14ac:dyDescent="0.25">
      <c r="A17" t="s">
        <v>19</v>
      </c>
      <c r="B17">
        <v>195915</v>
      </c>
      <c r="C17">
        <v>157009</v>
      </c>
      <c r="F17">
        <v>12</v>
      </c>
      <c r="G17">
        <v>943.4</v>
      </c>
      <c r="H17">
        <v>930.9</v>
      </c>
      <c r="I17">
        <v>868.95</v>
      </c>
      <c r="J17">
        <v>186.3</v>
      </c>
      <c r="K17">
        <v>27.29</v>
      </c>
      <c r="L17" t="s">
        <v>1</v>
      </c>
      <c r="M17" t="s">
        <v>389</v>
      </c>
      <c r="N17">
        <v>2220</v>
      </c>
      <c r="O17">
        <v>-45</v>
      </c>
      <c r="P17">
        <v>-1.99</v>
      </c>
      <c r="Q17">
        <v>2265</v>
      </c>
      <c r="R17">
        <v>7785</v>
      </c>
      <c r="S17">
        <v>59400</v>
      </c>
      <c r="T17">
        <v>192.7</v>
      </c>
      <c r="U17">
        <v>190.2</v>
      </c>
      <c r="V17">
        <v>200.55</v>
      </c>
      <c r="W17">
        <v>-159.6</v>
      </c>
      <c r="X17">
        <v>-44.31</v>
      </c>
      <c r="Y17" t="s">
        <v>2</v>
      </c>
      <c r="Z17" t="s">
        <v>390</v>
      </c>
      <c r="AA17">
        <v>4725</v>
      </c>
      <c r="AB17">
        <v>2085</v>
      </c>
      <c r="AC17">
        <v>78.98</v>
      </c>
      <c r="AD17">
        <v>2640</v>
      </c>
      <c r="AE17">
        <v>45420</v>
      </c>
    </row>
    <row r="18" spans="1:31" x14ac:dyDescent="0.25">
      <c r="A18" t="s">
        <v>20</v>
      </c>
      <c r="B18">
        <v>48000</v>
      </c>
      <c r="C18">
        <v>47000</v>
      </c>
      <c r="F18">
        <v>13</v>
      </c>
      <c r="G18">
        <v>860.35</v>
      </c>
      <c r="H18">
        <v>850.15</v>
      </c>
      <c r="I18">
        <v>849</v>
      </c>
      <c r="J18">
        <v>229.7</v>
      </c>
      <c r="K18">
        <v>37.090000000000003</v>
      </c>
      <c r="L18" t="s">
        <v>1</v>
      </c>
      <c r="M18" t="s">
        <v>391</v>
      </c>
      <c r="N18">
        <v>21180</v>
      </c>
      <c r="O18">
        <v>3810</v>
      </c>
      <c r="P18">
        <v>21.93</v>
      </c>
      <c r="Q18">
        <v>17370</v>
      </c>
      <c r="R18">
        <v>108990</v>
      </c>
      <c r="S18">
        <v>59500</v>
      </c>
      <c r="T18">
        <v>213.7</v>
      </c>
      <c r="U18">
        <v>212.05</v>
      </c>
      <c r="V18">
        <v>213.05</v>
      </c>
      <c r="W18">
        <v>-179.1</v>
      </c>
      <c r="X18">
        <v>-45.67</v>
      </c>
      <c r="Y18" t="s">
        <v>2</v>
      </c>
      <c r="Z18" t="s">
        <v>392</v>
      </c>
      <c r="AA18">
        <v>20880</v>
      </c>
      <c r="AB18">
        <v>8415</v>
      </c>
      <c r="AC18">
        <v>67.510000000000005</v>
      </c>
      <c r="AD18">
        <v>12465</v>
      </c>
      <c r="AE18">
        <v>179520</v>
      </c>
    </row>
    <row r="19" spans="1:31" x14ac:dyDescent="0.25">
      <c r="A19" t="s">
        <v>21</v>
      </c>
      <c r="B19">
        <v>189.2</v>
      </c>
      <c r="C19">
        <v>39.799999999999997</v>
      </c>
      <c r="F19">
        <v>14</v>
      </c>
      <c r="G19">
        <v>785.9</v>
      </c>
      <c r="H19">
        <v>774.3</v>
      </c>
      <c r="I19">
        <v>763.55</v>
      </c>
      <c r="J19">
        <v>204.75</v>
      </c>
      <c r="K19">
        <v>36.64</v>
      </c>
      <c r="L19" t="s">
        <v>1</v>
      </c>
      <c r="M19" t="s">
        <v>227</v>
      </c>
      <c r="N19">
        <v>4425</v>
      </c>
      <c r="O19">
        <v>2100</v>
      </c>
      <c r="P19">
        <v>90.32</v>
      </c>
      <c r="Q19">
        <v>2325</v>
      </c>
      <c r="R19">
        <v>57015</v>
      </c>
      <c r="S19">
        <v>59600</v>
      </c>
      <c r="T19">
        <v>241.65</v>
      </c>
      <c r="U19">
        <v>239.65</v>
      </c>
      <c r="V19">
        <v>245</v>
      </c>
      <c r="W19">
        <v>-188.15</v>
      </c>
      <c r="X19">
        <v>-43.44</v>
      </c>
      <c r="Y19" t="s">
        <v>2</v>
      </c>
      <c r="Z19" t="s">
        <v>228</v>
      </c>
      <c r="AA19">
        <v>9525</v>
      </c>
      <c r="AB19">
        <v>3975</v>
      </c>
      <c r="AC19">
        <v>71.62</v>
      </c>
      <c r="AD19">
        <v>5550</v>
      </c>
      <c r="AE19">
        <v>82005</v>
      </c>
    </row>
    <row r="20" spans="1:31" x14ac:dyDescent="0.25">
      <c r="A20" t="s">
        <v>22</v>
      </c>
      <c r="B20">
        <v>16940</v>
      </c>
      <c r="C20">
        <v>63125</v>
      </c>
      <c r="F20">
        <v>15</v>
      </c>
      <c r="G20">
        <v>713.15</v>
      </c>
      <c r="H20">
        <v>706.5</v>
      </c>
      <c r="I20">
        <v>701.55</v>
      </c>
      <c r="J20">
        <v>202.15</v>
      </c>
      <c r="K20">
        <v>40.479999999999997</v>
      </c>
      <c r="L20" t="s">
        <v>1</v>
      </c>
      <c r="M20" t="s">
        <v>229</v>
      </c>
      <c r="N20">
        <v>7605</v>
      </c>
      <c r="O20">
        <v>3075</v>
      </c>
      <c r="P20">
        <v>67.88</v>
      </c>
      <c r="Q20">
        <v>4530</v>
      </c>
      <c r="R20">
        <v>122085</v>
      </c>
      <c r="S20">
        <v>59700</v>
      </c>
      <c r="T20">
        <v>270.55</v>
      </c>
      <c r="U20">
        <v>268.25</v>
      </c>
      <c r="V20">
        <v>270</v>
      </c>
      <c r="W20">
        <v>-191.9</v>
      </c>
      <c r="X20">
        <v>-41.55</v>
      </c>
      <c r="Y20" t="s">
        <v>2</v>
      </c>
      <c r="Z20" t="s">
        <v>230</v>
      </c>
      <c r="AA20">
        <v>15075</v>
      </c>
      <c r="AB20">
        <v>1695</v>
      </c>
      <c r="AC20">
        <v>12.67</v>
      </c>
      <c r="AD20">
        <v>13380</v>
      </c>
      <c r="AE20">
        <v>119025</v>
      </c>
    </row>
    <row r="21" spans="1:31" x14ac:dyDescent="0.25">
      <c r="A21" t="s">
        <v>23</v>
      </c>
      <c r="B21">
        <v>47000</v>
      </c>
      <c r="C21">
        <v>47000</v>
      </c>
      <c r="F21">
        <v>16</v>
      </c>
      <c r="G21">
        <v>645.9</v>
      </c>
      <c r="H21">
        <v>640.45000000000005</v>
      </c>
      <c r="I21">
        <v>640.54999999999995</v>
      </c>
      <c r="J21">
        <v>188.6</v>
      </c>
      <c r="K21">
        <v>41.73</v>
      </c>
      <c r="L21" t="s">
        <v>1</v>
      </c>
      <c r="M21" t="s">
        <v>231</v>
      </c>
      <c r="N21">
        <v>8040</v>
      </c>
      <c r="O21">
        <v>3930</v>
      </c>
      <c r="P21">
        <v>95.62</v>
      </c>
      <c r="Q21">
        <v>4110</v>
      </c>
      <c r="R21">
        <v>134670</v>
      </c>
      <c r="S21">
        <v>59800</v>
      </c>
      <c r="T21">
        <v>302.85000000000002</v>
      </c>
      <c r="U21">
        <v>300</v>
      </c>
      <c r="V21">
        <v>308</v>
      </c>
      <c r="W21">
        <v>-210.05</v>
      </c>
      <c r="X21">
        <v>-40.549999999999997</v>
      </c>
      <c r="Y21" t="s">
        <v>2</v>
      </c>
      <c r="Z21" t="s">
        <v>232</v>
      </c>
      <c r="AA21">
        <v>7425</v>
      </c>
      <c r="AB21">
        <v>2370</v>
      </c>
      <c r="AC21">
        <v>46.88</v>
      </c>
      <c r="AD21">
        <v>5055</v>
      </c>
      <c r="AE21">
        <v>96945</v>
      </c>
    </row>
    <row r="22" spans="1:31" x14ac:dyDescent="0.25">
      <c r="A22" t="s">
        <v>24</v>
      </c>
      <c r="B22">
        <v>888.05</v>
      </c>
      <c r="C22">
        <v>39.799999999999997</v>
      </c>
      <c r="F22">
        <v>17</v>
      </c>
      <c r="G22">
        <v>579.5</v>
      </c>
      <c r="H22">
        <v>574.85</v>
      </c>
      <c r="I22">
        <v>570.70000000000005</v>
      </c>
      <c r="J22">
        <v>160.15</v>
      </c>
      <c r="K22">
        <v>39.01</v>
      </c>
      <c r="L22" t="s">
        <v>1</v>
      </c>
      <c r="M22" t="s">
        <v>233</v>
      </c>
      <c r="N22">
        <v>16065</v>
      </c>
      <c r="O22">
        <v>11535</v>
      </c>
      <c r="P22">
        <v>254.64</v>
      </c>
      <c r="Q22">
        <v>4530</v>
      </c>
      <c r="R22">
        <v>163020</v>
      </c>
      <c r="S22">
        <v>59900</v>
      </c>
      <c r="T22">
        <v>339.05</v>
      </c>
      <c r="U22">
        <v>337</v>
      </c>
      <c r="V22">
        <v>340</v>
      </c>
      <c r="W22">
        <v>-213.8</v>
      </c>
      <c r="X22">
        <v>-38.61</v>
      </c>
      <c r="Y22" t="s">
        <v>2</v>
      </c>
      <c r="Z22" t="s">
        <v>234</v>
      </c>
      <c r="AA22">
        <v>10680</v>
      </c>
      <c r="AB22">
        <v>8355</v>
      </c>
      <c r="AC22">
        <v>359.35</v>
      </c>
      <c r="AD22">
        <v>2325</v>
      </c>
      <c r="AE22">
        <v>91470</v>
      </c>
    </row>
    <row r="23" spans="1:31" x14ac:dyDescent="0.25">
      <c r="A23" t="s">
        <v>25</v>
      </c>
      <c r="B23">
        <v>49781</v>
      </c>
      <c r="C23">
        <v>19430</v>
      </c>
      <c r="F23">
        <v>18</v>
      </c>
      <c r="G23">
        <v>521</v>
      </c>
      <c r="H23">
        <v>519.79999999999995</v>
      </c>
      <c r="I23">
        <v>520</v>
      </c>
      <c r="J23">
        <v>158.80000000000001</v>
      </c>
      <c r="K23">
        <v>43.96</v>
      </c>
      <c r="L23" t="s">
        <v>1</v>
      </c>
      <c r="M23" t="s">
        <v>235</v>
      </c>
      <c r="N23">
        <v>34065</v>
      </c>
      <c r="O23">
        <v>8715</v>
      </c>
      <c r="P23">
        <v>34.380000000000003</v>
      </c>
      <c r="Q23">
        <v>25350</v>
      </c>
      <c r="R23">
        <v>236520</v>
      </c>
      <c r="S23">
        <v>60000</v>
      </c>
      <c r="T23">
        <v>377.9</v>
      </c>
      <c r="U23">
        <v>375.4</v>
      </c>
      <c r="V23">
        <v>377.5</v>
      </c>
      <c r="W23">
        <v>-236.15</v>
      </c>
      <c r="X23">
        <v>-38.479999999999997</v>
      </c>
      <c r="Y23" t="s">
        <v>2</v>
      </c>
      <c r="Z23" t="s">
        <v>236</v>
      </c>
      <c r="AA23">
        <v>13785</v>
      </c>
      <c r="AB23">
        <v>10815</v>
      </c>
      <c r="AC23">
        <v>364.14</v>
      </c>
      <c r="AD23">
        <v>2970</v>
      </c>
      <c r="AE23">
        <v>90525</v>
      </c>
    </row>
    <row r="24" spans="1:31" x14ac:dyDescent="0.25">
      <c r="A24" t="s">
        <v>26</v>
      </c>
      <c r="B24">
        <v>57000</v>
      </c>
      <c r="C24">
        <v>39500</v>
      </c>
      <c r="F24">
        <v>19</v>
      </c>
      <c r="G24">
        <v>471.35</v>
      </c>
      <c r="H24">
        <v>468.45</v>
      </c>
      <c r="I24">
        <v>470</v>
      </c>
      <c r="J24">
        <v>144.30000000000001</v>
      </c>
      <c r="K24">
        <v>44.3</v>
      </c>
      <c r="L24" t="s">
        <v>1</v>
      </c>
      <c r="M24" t="s">
        <v>393</v>
      </c>
      <c r="N24">
        <v>19725</v>
      </c>
      <c r="O24">
        <v>15120</v>
      </c>
      <c r="P24">
        <v>328.34</v>
      </c>
      <c r="Q24">
        <v>4605</v>
      </c>
      <c r="R24">
        <v>134550</v>
      </c>
      <c r="S24">
        <v>60100</v>
      </c>
      <c r="T24">
        <v>424.6</v>
      </c>
      <c r="U24">
        <v>422.25</v>
      </c>
      <c r="V24">
        <v>426.95</v>
      </c>
      <c r="W24">
        <v>-219.85</v>
      </c>
      <c r="X24">
        <v>-33.99</v>
      </c>
      <c r="Y24" t="s">
        <v>2</v>
      </c>
      <c r="Z24" t="s">
        <v>394</v>
      </c>
      <c r="AA24">
        <v>11385</v>
      </c>
      <c r="AB24">
        <v>10395</v>
      </c>
      <c r="AC24">
        <v>1050</v>
      </c>
      <c r="AD24">
        <v>990</v>
      </c>
      <c r="AE24">
        <v>55620</v>
      </c>
    </row>
    <row r="25" spans="1:31" x14ac:dyDescent="0.25">
      <c r="A25" t="s">
        <v>27</v>
      </c>
      <c r="B25">
        <v>0.9</v>
      </c>
      <c r="C25">
        <v>1.05</v>
      </c>
      <c r="F25">
        <v>20</v>
      </c>
      <c r="G25">
        <v>420</v>
      </c>
      <c r="H25">
        <v>417.45</v>
      </c>
      <c r="I25">
        <v>416</v>
      </c>
      <c r="J25">
        <v>128.30000000000001</v>
      </c>
      <c r="K25">
        <v>44.6</v>
      </c>
      <c r="L25" t="s">
        <v>1</v>
      </c>
      <c r="M25" t="s">
        <v>395</v>
      </c>
      <c r="N25">
        <v>9870</v>
      </c>
      <c r="O25">
        <v>6810</v>
      </c>
      <c r="P25">
        <v>222.55</v>
      </c>
      <c r="Q25">
        <v>3060</v>
      </c>
      <c r="R25">
        <v>100365</v>
      </c>
      <c r="S25">
        <v>60200</v>
      </c>
      <c r="T25">
        <v>476.7</v>
      </c>
      <c r="U25">
        <v>471.3</v>
      </c>
      <c r="V25">
        <v>480</v>
      </c>
      <c r="W25">
        <v>-284.45</v>
      </c>
      <c r="X25">
        <v>-37.21</v>
      </c>
      <c r="Y25" t="s">
        <v>2</v>
      </c>
      <c r="Z25" t="s">
        <v>396</v>
      </c>
      <c r="AA25">
        <v>3540</v>
      </c>
      <c r="AB25">
        <v>3330</v>
      </c>
      <c r="AC25">
        <v>1585.71</v>
      </c>
      <c r="AD25">
        <v>210</v>
      </c>
      <c r="AE25">
        <v>14355</v>
      </c>
    </row>
    <row r="26" spans="1:31" x14ac:dyDescent="0.25">
      <c r="A26" t="s">
        <v>28</v>
      </c>
      <c r="B26">
        <v>59152340</v>
      </c>
      <c r="C26">
        <v>56634883</v>
      </c>
      <c r="F26">
        <v>21</v>
      </c>
      <c r="G26">
        <v>371.85</v>
      </c>
      <c r="H26">
        <v>369.8</v>
      </c>
      <c r="I26">
        <v>366.15</v>
      </c>
      <c r="J26">
        <v>105.55</v>
      </c>
      <c r="K26">
        <v>40.5</v>
      </c>
      <c r="L26" t="s">
        <v>1</v>
      </c>
      <c r="M26" t="s">
        <v>397</v>
      </c>
      <c r="N26">
        <v>7425</v>
      </c>
      <c r="O26">
        <v>-1815</v>
      </c>
      <c r="P26">
        <v>-19.64</v>
      </c>
      <c r="Q26">
        <v>9240</v>
      </c>
      <c r="R26">
        <v>69540</v>
      </c>
      <c r="S26">
        <v>60300</v>
      </c>
      <c r="T26">
        <v>531.4</v>
      </c>
      <c r="U26">
        <v>524.29999999999995</v>
      </c>
      <c r="V26">
        <v>541</v>
      </c>
      <c r="W26">
        <v>-225.5</v>
      </c>
      <c r="X26">
        <v>-29.42</v>
      </c>
      <c r="Y26" t="s">
        <v>2</v>
      </c>
      <c r="Z26" t="s">
        <v>398</v>
      </c>
      <c r="AA26">
        <v>405</v>
      </c>
      <c r="AB26">
        <v>375</v>
      </c>
      <c r="AC26">
        <v>1250</v>
      </c>
      <c r="AD26">
        <v>30</v>
      </c>
      <c r="AE26">
        <v>2325</v>
      </c>
    </row>
    <row r="27" spans="1:31" x14ac:dyDescent="0.25">
      <c r="A27" t="s">
        <v>29</v>
      </c>
      <c r="B27">
        <v>47500</v>
      </c>
      <c r="C27">
        <v>47000</v>
      </c>
      <c r="F27">
        <v>22</v>
      </c>
      <c r="G27">
        <v>330</v>
      </c>
      <c r="H27">
        <v>327.64999999999998</v>
      </c>
      <c r="I27">
        <v>325</v>
      </c>
      <c r="J27">
        <v>106.75</v>
      </c>
      <c r="K27">
        <v>48.91</v>
      </c>
      <c r="L27" t="s">
        <v>1</v>
      </c>
      <c r="M27" t="s">
        <v>399</v>
      </c>
      <c r="N27">
        <v>4170</v>
      </c>
      <c r="O27">
        <v>1995</v>
      </c>
      <c r="P27">
        <v>91.72</v>
      </c>
      <c r="Q27">
        <v>2175</v>
      </c>
      <c r="R27">
        <v>31620</v>
      </c>
      <c r="S27">
        <v>60400</v>
      </c>
      <c r="T27">
        <v>588.1</v>
      </c>
      <c r="U27">
        <v>580.45000000000005</v>
      </c>
      <c r="V27">
        <v>595</v>
      </c>
      <c r="W27">
        <v>-261.55</v>
      </c>
      <c r="X27">
        <v>-30.54</v>
      </c>
      <c r="Y27" t="s">
        <v>2</v>
      </c>
      <c r="Z27" t="s">
        <v>400</v>
      </c>
      <c r="AA27">
        <v>315</v>
      </c>
      <c r="AB27">
        <v>315</v>
      </c>
      <c r="AC27">
        <v>0</v>
      </c>
      <c r="AD27">
        <v>0</v>
      </c>
      <c r="AE27">
        <v>1095</v>
      </c>
    </row>
    <row r="28" spans="1:31" x14ac:dyDescent="0.25">
      <c r="A28" t="s">
        <v>30</v>
      </c>
      <c r="B28">
        <v>470.15</v>
      </c>
      <c r="C28">
        <v>39.799999999999997</v>
      </c>
      <c r="F28">
        <v>23</v>
      </c>
      <c r="G28">
        <v>291</v>
      </c>
      <c r="H28">
        <v>287.5</v>
      </c>
      <c r="I28">
        <v>285.95</v>
      </c>
      <c r="J28">
        <v>99.25</v>
      </c>
      <c r="K28">
        <v>53.16</v>
      </c>
      <c r="L28" t="s">
        <v>1</v>
      </c>
      <c r="M28" t="s">
        <v>401</v>
      </c>
      <c r="N28">
        <v>17955</v>
      </c>
      <c r="O28">
        <v>7020</v>
      </c>
      <c r="P28">
        <v>64.2</v>
      </c>
      <c r="Q28">
        <v>10935</v>
      </c>
      <c r="R28">
        <v>62055</v>
      </c>
      <c r="S28">
        <v>60500</v>
      </c>
      <c r="T28">
        <v>652.79999999999995</v>
      </c>
      <c r="U28">
        <v>643.35</v>
      </c>
      <c r="V28">
        <v>675</v>
      </c>
      <c r="W28">
        <v>-265.35000000000002</v>
      </c>
      <c r="X28">
        <v>-28.22</v>
      </c>
      <c r="Y28" t="s">
        <v>2</v>
      </c>
      <c r="Z28" t="s">
        <v>402</v>
      </c>
      <c r="AA28">
        <v>420</v>
      </c>
      <c r="AB28">
        <v>360</v>
      </c>
      <c r="AC28">
        <v>600</v>
      </c>
      <c r="AD28">
        <v>60</v>
      </c>
      <c r="AE28">
        <v>1155</v>
      </c>
    </row>
    <row r="29" spans="1:31" x14ac:dyDescent="0.25">
      <c r="F29">
        <v>24</v>
      </c>
      <c r="G29">
        <v>261.25</v>
      </c>
      <c r="H29">
        <v>256.25</v>
      </c>
      <c r="I29">
        <v>244.65</v>
      </c>
      <c r="J29">
        <v>77.45</v>
      </c>
      <c r="K29">
        <v>46.32</v>
      </c>
      <c r="L29" t="s">
        <v>1</v>
      </c>
      <c r="M29" t="s">
        <v>403</v>
      </c>
      <c r="N29">
        <v>5190</v>
      </c>
      <c r="O29">
        <v>3810</v>
      </c>
      <c r="P29">
        <v>276.08999999999997</v>
      </c>
      <c r="Q29">
        <v>1380</v>
      </c>
      <c r="R29">
        <v>25425</v>
      </c>
      <c r="S29">
        <v>60600</v>
      </c>
      <c r="T29">
        <v>726</v>
      </c>
      <c r="U29">
        <v>706</v>
      </c>
      <c r="V29">
        <v>730</v>
      </c>
      <c r="W29">
        <v>-262.10000000000002</v>
      </c>
      <c r="X29">
        <v>-26.42</v>
      </c>
      <c r="Y29" t="s">
        <v>2</v>
      </c>
      <c r="Z29" t="s">
        <v>404</v>
      </c>
      <c r="AA29">
        <v>120</v>
      </c>
      <c r="AB29">
        <v>120</v>
      </c>
      <c r="AC29">
        <v>0</v>
      </c>
      <c r="AD29">
        <v>0</v>
      </c>
      <c r="AE29">
        <v>255</v>
      </c>
    </row>
    <row r="30" spans="1:31" x14ac:dyDescent="0.25">
      <c r="F30">
        <v>25</v>
      </c>
      <c r="G30">
        <v>227.7</v>
      </c>
      <c r="H30">
        <v>224.45</v>
      </c>
      <c r="I30">
        <v>219.85</v>
      </c>
      <c r="J30">
        <v>168</v>
      </c>
      <c r="K30">
        <v>324.01</v>
      </c>
      <c r="L30" t="s">
        <v>1</v>
      </c>
      <c r="M30" t="s">
        <v>405</v>
      </c>
      <c r="N30">
        <v>5835</v>
      </c>
      <c r="O30">
        <v>5775</v>
      </c>
      <c r="P30">
        <v>9625</v>
      </c>
      <c r="Q30">
        <v>60</v>
      </c>
      <c r="R30">
        <v>15975</v>
      </c>
      <c r="S30">
        <v>60700</v>
      </c>
      <c r="T30">
        <v>797.15</v>
      </c>
      <c r="U30">
        <v>779.3</v>
      </c>
      <c r="V30">
        <v>837.65</v>
      </c>
      <c r="W30">
        <v>-225.95</v>
      </c>
      <c r="X30">
        <v>-21.24</v>
      </c>
      <c r="Y30" t="s">
        <v>2</v>
      </c>
      <c r="Z30" t="s">
        <v>406</v>
      </c>
      <c r="AA30">
        <v>75</v>
      </c>
      <c r="AB30">
        <v>75</v>
      </c>
      <c r="AC30">
        <v>0</v>
      </c>
      <c r="AD30">
        <v>0</v>
      </c>
      <c r="AE30">
        <v>105</v>
      </c>
    </row>
    <row r="31" spans="1:31" x14ac:dyDescent="0.25">
      <c r="F31">
        <v>26</v>
      </c>
      <c r="G31">
        <v>201.4</v>
      </c>
      <c r="H31">
        <v>198.05</v>
      </c>
      <c r="I31">
        <v>191.7</v>
      </c>
      <c r="J31">
        <v>59.6</v>
      </c>
      <c r="K31">
        <v>45.12</v>
      </c>
      <c r="L31" t="s">
        <v>1</v>
      </c>
      <c r="M31" t="s">
        <v>407</v>
      </c>
      <c r="N31">
        <v>3945</v>
      </c>
      <c r="O31">
        <v>2880</v>
      </c>
      <c r="P31">
        <v>270.42</v>
      </c>
      <c r="Q31">
        <v>1065</v>
      </c>
      <c r="R31">
        <v>17910</v>
      </c>
      <c r="S31">
        <v>60800</v>
      </c>
      <c r="T31">
        <v>873</v>
      </c>
      <c r="U31">
        <v>846.3</v>
      </c>
      <c r="V31">
        <v>904.15</v>
      </c>
      <c r="W31">
        <v>-233.35</v>
      </c>
      <c r="X31">
        <v>-20.51</v>
      </c>
      <c r="Y31" t="s">
        <v>2</v>
      </c>
      <c r="Z31" t="s">
        <v>408</v>
      </c>
      <c r="AA31">
        <v>435</v>
      </c>
      <c r="AB31">
        <v>435</v>
      </c>
      <c r="AC31">
        <v>0</v>
      </c>
      <c r="AD31">
        <v>0</v>
      </c>
      <c r="AE31">
        <v>480</v>
      </c>
    </row>
    <row r="32" spans="1:31" x14ac:dyDescent="0.25">
      <c r="F32">
        <v>27</v>
      </c>
      <c r="G32">
        <v>176.9</v>
      </c>
      <c r="H32">
        <v>173.9</v>
      </c>
      <c r="I32">
        <v>176.35</v>
      </c>
      <c r="J32">
        <v>68.8</v>
      </c>
      <c r="K32">
        <v>63.97</v>
      </c>
      <c r="L32" t="s">
        <v>1</v>
      </c>
      <c r="M32" t="s">
        <v>409</v>
      </c>
      <c r="N32">
        <v>4455</v>
      </c>
      <c r="O32">
        <v>2520</v>
      </c>
      <c r="P32">
        <v>130.22999999999999</v>
      </c>
      <c r="Q32">
        <v>1935</v>
      </c>
      <c r="R32">
        <v>21630</v>
      </c>
      <c r="S32">
        <v>60900</v>
      </c>
      <c r="T32">
        <v>951</v>
      </c>
      <c r="U32">
        <v>919.9</v>
      </c>
      <c r="V32">
        <v>1000</v>
      </c>
      <c r="W32">
        <v>-213.65</v>
      </c>
      <c r="X32">
        <v>-17.600000000000001</v>
      </c>
      <c r="Y32" t="s">
        <v>2</v>
      </c>
      <c r="Z32" t="s">
        <v>410</v>
      </c>
      <c r="AA32">
        <v>15</v>
      </c>
      <c r="AB32">
        <v>15</v>
      </c>
      <c r="AC32">
        <v>0</v>
      </c>
      <c r="AD32">
        <v>0</v>
      </c>
      <c r="AE32">
        <v>15</v>
      </c>
    </row>
    <row r="33" spans="6:31" x14ac:dyDescent="0.25">
      <c r="F33">
        <v>28</v>
      </c>
      <c r="G33">
        <v>155.15</v>
      </c>
      <c r="H33">
        <v>152.30000000000001</v>
      </c>
      <c r="I33">
        <v>152.69999999999999</v>
      </c>
      <c r="J33">
        <v>57.45</v>
      </c>
      <c r="K33">
        <v>60.31</v>
      </c>
      <c r="L33" t="s">
        <v>1</v>
      </c>
      <c r="M33" t="s">
        <v>411</v>
      </c>
      <c r="N33">
        <v>25680</v>
      </c>
      <c r="O33">
        <v>12675</v>
      </c>
      <c r="P33">
        <v>97.46</v>
      </c>
      <c r="Q33">
        <v>13005</v>
      </c>
      <c r="R33">
        <v>334455</v>
      </c>
      <c r="S33">
        <v>61000</v>
      </c>
      <c r="T33">
        <v>1026</v>
      </c>
      <c r="U33">
        <v>996</v>
      </c>
      <c r="V33">
        <v>0</v>
      </c>
      <c r="W33">
        <v>0</v>
      </c>
      <c r="X33">
        <v>0</v>
      </c>
      <c r="Y33" t="s">
        <v>2</v>
      </c>
      <c r="Z33" t="s">
        <v>412</v>
      </c>
      <c r="AA33">
        <v>0</v>
      </c>
      <c r="AB33">
        <v>0</v>
      </c>
      <c r="AC33">
        <v>0</v>
      </c>
      <c r="AD33">
        <v>0</v>
      </c>
      <c r="AE33">
        <v>0</v>
      </c>
    </row>
    <row r="34" spans="6:31" x14ac:dyDescent="0.25">
      <c r="F34">
        <v>29</v>
      </c>
      <c r="G34">
        <v>138</v>
      </c>
      <c r="H34">
        <v>129.05000000000001</v>
      </c>
      <c r="I34">
        <v>128.9</v>
      </c>
      <c r="J34">
        <v>113.75</v>
      </c>
      <c r="K34">
        <v>750.83</v>
      </c>
      <c r="L34" t="s">
        <v>1</v>
      </c>
      <c r="M34" t="s">
        <v>413</v>
      </c>
      <c r="N34">
        <v>645</v>
      </c>
      <c r="O34">
        <v>555</v>
      </c>
      <c r="P34">
        <v>616.66999999999996</v>
      </c>
      <c r="Q34">
        <v>90</v>
      </c>
      <c r="R34">
        <v>2505</v>
      </c>
      <c r="S34">
        <v>61100</v>
      </c>
      <c r="T34">
        <v>1107</v>
      </c>
      <c r="U34">
        <v>1074</v>
      </c>
      <c r="V34">
        <v>0</v>
      </c>
      <c r="W34">
        <v>0</v>
      </c>
      <c r="X34">
        <v>0</v>
      </c>
      <c r="Y34" t="s">
        <v>2</v>
      </c>
      <c r="Z34" t="s">
        <v>414</v>
      </c>
      <c r="AA34">
        <v>0</v>
      </c>
      <c r="AB34">
        <v>0</v>
      </c>
      <c r="AC34">
        <v>0</v>
      </c>
      <c r="AD34">
        <v>0</v>
      </c>
      <c r="AE34">
        <v>0</v>
      </c>
    </row>
    <row r="35" spans="6:31" x14ac:dyDescent="0.25">
      <c r="F35">
        <v>30</v>
      </c>
      <c r="G35">
        <v>124.7</v>
      </c>
      <c r="H35">
        <v>62.45</v>
      </c>
      <c r="I35">
        <v>29.95</v>
      </c>
      <c r="J35">
        <v>0</v>
      </c>
      <c r="K35">
        <v>0</v>
      </c>
      <c r="L35" t="s">
        <v>1</v>
      </c>
      <c r="M35" t="s">
        <v>415</v>
      </c>
      <c r="N35">
        <v>105</v>
      </c>
      <c r="O35">
        <v>0</v>
      </c>
      <c r="P35">
        <v>0</v>
      </c>
      <c r="Q35">
        <v>105</v>
      </c>
      <c r="R35">
        <v>0</v>
      </c>
      <c r="S35">
        <v>61200</v>
      </c>
      <c r="T35">
        <v>1214.45</v>
      </c>
      <c r="U35">
        <v>1158.3499999999999</v>
      </c>
      <c r="V35">
        <v>0</v>
      </c>
      <c r="W35">
        <v>0</v>
      </c>
      <c r="X35">
        <v>0</v>
      </c>
      <c r="Y35" t="s">
        <v>2</v>
      </c>
      <c r="Z35" t="s">
        <v>416</v>
      </c>
      <c r="AA35">
        <v>0</v>
      </c>
      <c r="AB35">
        <v>0</v>
      </c>
      <c r="AC35">
        <v>0</v>
      </c>
      <c r="AD35">
        <v>0</v>
      </c>
      <c r="AE35">
        <v>0</v>
      </c>
    </row>
    <row r="36" spans="6:31" x14ac:dyDescent="0.25">
      <c r="F36">
        <v>31</v>
      </c>
      <c r="G36">
        <v>123.35</v>
      </c>
      <c r="H36">
        <v>73.349999999999994</v>
      </c>
      <c r="I36">
        <v>45.85</v>
      </c>
      <c r="J36">
        <v>0</v>
      </c>
      <c r="K36">
        <v>0</v>
      </c>
      <c r="L36" t="s">
        <v>1</v>
      </c>
      <c r="M36" t="s">
        <v>417</v>
      </c>
      <c r="N36">
        <v>30</v>
      </c>
      <c r="O36">
        <v>0</v>
      </c>
      <c r="P36">
        <v>0</v>
      </c>
      <c r="Q36">
        <v>30</v>
      </c>
      <c r="R36">
        <v>0</v>
      </c>
      <c r="S36">
        <v>61300</v>
      </c>
      <c r="T36">
        <v>1296.5999999999999</v>
      </c>
      <c r="U36">
        <v>1235.75</v>
      </c>
      <c r="V36">
        <v>0</v>
      </c>
      <c r="W36">
        <v>0</v>
      </c>
      <c r="X36">
        <v>0</v>
      </c>
      <c r="Y36" t="s">
        <v>2</v>
      </c>
      <c r="Z36" t="s">
        <v>418</v>
      </c>
      <c r="AA36">
        <v>0</v>
      </c>
      <c r="AB36">
        <v>0</v>
      </c>
      <c r="AC36">
        <v>0</v>
      </c>
      <c r="AD36">
        <v>0</v>
      </c>
      <c r="AE36">
        <v>0</v>
      </c>
    </row>
    <row r="37" spans="6:31" x14ac:dyDescent="0.25">
      <c r="F37">
        <v>32</v>
      </c>
      <c r="G37">
        <v>93.9</v>
      </c>
      <c r="H37">
        <v>87.55</v>
      </c>
      <c r="I37">
        <v>87.65</v>
      </c>
      <c r="J37">
        <v>-9.75</v>
      </c>
      <c r="K37">
        <v>-10.01</v>
      </c>
      <c r="L37" t="s">
        <v>1</v>
      </c>
      <c r="M37" t="s">
        <v>419</v>
      </c>
      <c r="N37">
        <v>1320</v>
      </c>
      <c r="O37">
        <v>1320</v>
      </c>
      <c r="P37">
        <v>0</v>
      </c>
      <c r="Q37">
        <v>0</v>
      </c>
      <c r="R37">
        <v>2430</v>
      </c>
      <c r="S37">
        <v>61400</v>
      </c>
      <c r="T37">
        <v>1376.75</v>
      </c>
      <c r="U37">
        <v>1331.65</v>
      </c>
      <c r="V37">
        <v>0</v>
      </c>
      <c r="W37">
        <v>0</v>
      </c>
      <c r="X37">
        <v>0</v>
      </c>
      <c r="Y37" t="s">
        <v>2</v>
      </c>
      <c r="Z37" t="s">
        <v>420</v>
      </c>
      <c r="AA37">
        <v>0</v>
      </c>
      <c r="AB37">
        <v>0</v>
      </c>
      <c r="AC37">
        <v>0</v>
      </c>
      <c r="AD37">
        <v>0</v>
      </c>
      <c r="AE37">
        <v>0</v>
      </c>
    </row>
    <row r="38" spans="6:31" x14ac:dyDescent="0.25">
      <c r="F38">
        <v>33</v>
      </c>
      <c r="G38">
        <v>82.25</v>
      </c>
      <c r="H38">
        <v>81.3</v>
      </c>
      <c r="I38">
        <v>80.5</v>
      </c>
      <c r="J38">
        <v>31</v>
      </c>
      <c r="K38">
        <v>62.63</v>
      </c>
      <c r="L38" t="s">
        <v>1</v>
      </c>
      <c r="M38" t="s">
        <v>421</v>
      </c>
      <c r="N38">
        <v>26325</v>
      </c>
      <c r="O38">
        <v>18030</v>
      </c>
      <c r="P38">
        <v>217.36</v>
      </c>
      <c r="Q38">
        <v>8295</v>
      </c>
      <c r="R38">
        <v>154275</v>
      </c>
      <c r="S38">
        <v>61500</v>
      </c>
      <c r="T38">
        <v>0</v>
      </c>
      <c r="U38">
        <v>0</v>
      </c>
      <c r="V38">
        <v>0</v>
      </c>
      <c r="W38">
        <v>0</v>
      </c>
      <c r="X38">
        <v>0</v>
      </c>
      <c r="Y38" t="s">
        <v>2</v>
      </c>
      <c r="Z38" t="s">
        <v>422</v>
      </c>
      <c r="AA38">
        <v>0</v>
      </c>
      <c r="AB38">
        <v>0</v>
      </c>
      <c r="AC38">
        <v>0</v>
      </c>
      <c r="AD38">
        <v>0</v>
      </c>
      <c r="AE38">
        <v>0</v>
      </c>
    </row>
    <row r="39" spans="6:31" x14ac:dyDescent="0.25">
      <c r="F39">
        <v>34</v>
      </c>
      <c r="G39">
        <v>72.3</v>
      </c>
      <c r="H39">
        <v>70.7</v>
      </c>
      <c r="I39">
        <v>69.7</v>
      </c>
      <c r="J39">
        <v>28.95</v>
      </c>
      <c r="K39">
        <v>71.040000000000006</v>
      </c>
      <c r="L39" t="s">
        <v>1</v>
      </c>
      <c r="M39" t="s">
        <v>423</v>
      </c>
      <c r="N39">
        <v>1500</v>
      </c>
      <c r="O39">
        <v>1485</v>
      </c>
      <c r="P39">
        <v>9900</v>
      </c>
      <c r="Q39">
        <v>15</v>
      </c>
      <c r="R39">
        <v>20655</v>
      </c>
      <c r="S39">
        <v>61600</v>
      </c>
      <c r="T39">
        <v>0</v>
      </c>
      <c r="U39">
        <v>0</v>
      </c>
      <c r="V39">
        <v>0</v>
      </c>
      <c r="W39">
        <v>0</v>
      </c>
      <c r="X39">
        <v>0</v>
      </c>
      <c r="Y39" t="s">
        <v>2</v>
      </c>
      <c r="Z39" t="s">
        <v>424</v>
      </c>
      <c r="AA39">
        <v>0</v>
      </c>
      <c r="AB39">
        <v>0</v>
      </c>
      <c r="AC39">
        <v>0</v>
      </c>
      <c r="AD39">
        <v>0</v>
      </c>
      <c r="AE39">
        <v>0</v>
      </c>
    </row>
    <row r="40" spans="6:31" x14ac:dyDescent="0.25">
      <c r="F40">
        <v>35</v>
      </c>
      <c r="G40">
        <v>65.900000000000006</v>
      </c>
      <c r="H40">
        <v>60.05</v>
      </c>
      <c r="I40">
        <v>57.85</v>
      </c>
      <c r="J40">
        <v>17.45</v>
      </c>
      <c r="K40">
        <v>43.19</v>
      </c>
      <c r="L40" t="s">
        <v>1</v>
      </c>
      <c r="M40" t="s">
        <v>425</v>
      </c>
      <c r="N40">
        <v>1485</v>
      </c>
      <c r="O40">
        <v>1080</v>
      </c>
      <c r="P40">
        <v>266.67</v>
      </c>
      <c r="Q40">
        <v>405</v>
      </c>
      <c r="R40">
        <v>5490</v>
      </c>
      <c r="S40">
        <v>61700</v>
      </c>
      <c r="T40">
        <v>0</v>
      </c>
      <c r="U40">
        <v>0</v>
      </c>
      <c r="V40">
        <v>0</v>
      </c>
      <c r="W40">
        <v>0</v>
      </c>
      <c r="X40">
        <v>0</v>
      </c>
      <c r="Y40" t="s">
        <v>2</v>
      </c>
      <c r="Z40" t="s">
        <v>426</v>
      </c>
      <c r="AA40">
        <v>0</v>
      </c>
      <c r="AB40">
        <v>0</v>
      </c>
      <c r="AC40">
        <v>0</v>
      </c>
      <c r="AD40">
        <v>0</v>
      </c>
      <c r="AE40">
        <v>0</v>
      </c>
    </row>
    <row r="41" spans="6:31" x14ac:dyDescent="0.25">
      <c r="F41">
        <v>36</v>
      </c>
      <c r="G41">
        <v>0</v>
      </c>
      <c r="H41">
        <v>35.299999999999997</v>
      </c>
      <c r="I41">
        <v>0</v>
      </c>
      <c r="J41">
        <v>0</v>
      </c>
      <c r="K41">
        <v>0</v>
      </c>
      <c r="L41" t="s">
        <v>1</v>
      </c>
      <c r="M41" t="s">
        <v>427</v>
      </c>
      <c r="N41">
        <v>0</v>
      </c>
      <c r="O41">
        <v>0</v>
      </c>
      <c r="P41">
        <v>0</v>
      </c>
      <c r="Q41">
        <v>0</v>
      </c>
      <c r="R41">
        <v>0</v>
      </c>
      <c r="S41">
        <v>61800</v>
      </c>
      <c r="T41">
        <v>0</v>
      </c>
      <c r="U41">
        <v>0</v>
      </c>
      <c r="V41">
        <v>0</v>
      </c>
      <c r="W41">
        <v>0</v>
      </c>
      <c r="X41">
        <v>0</v>
      </c>
      <c r="Y41" t="s">
        <v>2</v>
      </c>
      <c r="Z41" t="s">
        <v>428</v>
      </c>
      <c r="AA41">
        <v>0</v>
      </c>
      <c r="AB41">
        <v>0</v>
      </c>
      <c r="AC41">
        <v>0</v>
      </c>
      <c r="AD41">
        <v>0</v>
      </c>
      <c r="AE41">
        <v>0</v>
      </c>
    </row>
    <row r="42" spans="6:31" x14ac:dyDescent="0.25">
      <c r="F42">
        <v>37</v>
      </c>
      <c r="G42">
        <v>0</v>
      </c>
      <c r="H42">
        <v>31.15</v>
      </c>
      <c r="I42">
        <v>0</v>
      </c>
      <c r="J42">
        <v>0</v>
      </c>
      <c r="K42">
        <v>0</v>
      </c>
      <c r="L42" t="s">
        <v>1</v>
      </c>
      <c r="M42" t="s">
        <v>495</v>
      </c>
      <c r="N42">
        <v>0</v>
      </c>
      <c r="O42">
        <v>0</v>
      </c>
      <c r="P42">
        <v>0</v>
      </c>
      <c r="Q42">
        <v>0</v>
      </c>
      <c r="R42">
        <v>0</v>
      </c>
      <c r="S42">
        <v>61900</v>
      </c>
      <c r="T42">
        <v>0</v>
      </c>
      <c r="U42">
        <v>0</v>
      </c>
      <c r="V42">
        <v>0</v>
      </c>
      <c r="W42">
        <v>0</v>
      </c>
      <c r="X42">
        <v>0</v>
      </c>
      <c r="Y42" t="s">
        <v>2</v>
      </c>
      <c r="Z42" t="s">
        <v>496</v>
      </c>
      <c r="AA42">
        <v>0</v>
      </c>
      <c r="AB42">
        <v>0</v>
      </c>
      <c r="AC42">
        <v>0</v>
      </c>
      <c r="AD42">
        <v>0</v>
      </c>
      <c r="AE42">
        <v>0</v>
      </c>
    </row>
    <row r="43" spans="6:31" x14ac:dyDescent="0.25">
      <c r="F43">
        <v>38</v>
      </c>
      <c r="G43">
        <v>38.700000000000003</v>
      </c>
      <c r="H43">
        <v>33.450000000000003</v>
      </c>
      <c r="I43">
        <v>37.4</v>
      </c>
      <c r="J43">
        <v>6.9</v>
      </c>
      <c r="K43">
        <v>22.62</v>
      </c>
      <c r="L43" t="s">
        <v>1</v>
      </c>
      <c r="M43" t="s">
        <v>497</v>
      </c>
      <c r="N43">
        <v>9975</v>
      </c>
      <c r="O43">
        <v>8595</v>
      </c>
      <c r="P43">
        <v>622.83000000000004</v>
      </c>
      <c r="Q43">
        <v>1380</v>
      </c>
      <c r="R43">
        <v>22890</v>
      </c>
      <c r="S43">
        <v>62000</v>
      </c>
      <c r="T43">
        <v>0</v>
      </c>
      <c r="U43">
        <v>0</v>
      </c>
      <c r="V43">
        <v>0</v>
      </c>
      <c r="W43">
        <v>0</v>
      </c>
      <c r="X43">
        <v>0</v>
      </c>
      <c r="Y43" t="s">
        <v>2</v>
      </c>
      <c r="Z43" t="s">
        <v>498</v>
      </c>
      <c r="AA43">
        <v>0</v>
      </c>
      <c r="AB43">
        <v>0</v>
      </c>
      <c r="AC43">
        <v>0</v>
      </c>
      <c r="AD43">
        <v>0</v>
      </c>
      <c r="AE43">
        <v>0</v>
      </c>
    </row>
    <row r="44" spans="6:31" x14ac:dyDescent="0.25">
      <c r="F44">
        <v>39</v>
      </c>
      <c r="G44">
        <v>39.85</v>
      </c>
      <c r="H44">
        <v>12.1</v>
      </c>
      <c r="I44">
        <v>30.15</v>
      </c>
      <c r="J44">
        <v>4.95</v>
      </c>
      <c r="K44">
        <v>19.64</v>
      </c>
      <c r="L44" t="s">
        <v>1</v>
      </c>
      <c r="M44" t="s">
        <v>499</v>
      </c>
      <c r="N44">
        <v>165</v>
      </c>
      <c r="O44">
        <v>-60</v>
      </c>
      <c r="P44">
        <v>-26.67</v>
      </c>
      <c r="Q44">
        <v>225</v>
      </c>
      <c r="R44">
        <v>450</v>
      </c>
      <c r="S44">
        <v>62100</v>
      </c>
      <c r="T44">
        <v>0</v>
      </c>
      <c r="U44">
        <v>0</v>
      </c>
      <c r="V44">
        <v>0</v>
      </c>
      <c r="W44">
        <v>0</v>
      </c>
      <c r="X44">
        <v>0</v>
      </c>
      <c r="Y44" t="s">
        <v>2</v>
      </c>
      <c r="Z44" t="s">
        <v>500</v>
      </c>
      <c r="AA44">
        <v>0</v>
      </c>
      <c r="AB44">
        <v>0</v>
      </c>
      <c r="AC44">
        <v>0</v>
      </c>
      <c r="AD44">
        <v>0</v>
      </c>
      <c r="AE44">
        <v>0</v>
      </c>
    </row>
    <row r="45" spans="6:31" x14ac:dyDescent="0.25">
      <c r="F45">
        <v>40</v>
      </c>
      <c r="G45">
        <v>0</v>
      </c>
      <c r="H45">
        <v>10.050000000000001</v>
      </c>
      <c r="I45">
        <v>0</v>
      </c>
      <c r="J45">
        <v>0</v>
      </c>
      <c r="K45">
        <v>0</v>
      </c>
      <c r="L45" t="s">
        <v>1</v>
      </c>
      <c r="M45" t="s">
        <v>583</v>
      </c>
      <c r="N45">
        <v>0</v>
      </c>
      <c r="O45">
        <v>0</v>
      </c>
      <c r="P45">
        <v>0</v>
      </c>
      <c r="Q45">
        <v>0</v>
      </c>
      <c r="R45">
        <v>0</v>
      </c>
      <c r="S45">
        <v>62200</v>
      </c>
      <c r="T45">
        <v>0</v>
      </c>
      <c r="U45">
        <v>0</v>
      </c>
      <c r="V45">
        <v>0</v>
      </c>
      <c r="W45">
        <v>0</v>
      </c>
      <c r="X45">
        <v>0</v>
      </c>
      <c r="Y45" t="s">
        <v>2</v>
      </c>
      <c r="Z45" t="s">
        <v>584</v>
      </c>
      <c r="AA45">
        <v>0</v>
      </c>
      <c r="AB45">
        <v>0</v>
      </c>
      <c r="AC45">
        <v>0</v>
      </c>
      <c r="AD45">
        <v>0</v>
      </c>
      <c r="AE45">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1F61F-0051-4926-8CFE-D959B6B11AA5}">
  <dimension ref="A1:AE45"/>
  <sheetViews>
    <sheetView workbookViewId="0">
      <selection sqref="A1:C28"/>
    </sheetView>
  </sheetViews>
  <sheetFormatPr defaultRowHeight="15" x14ac:dyDescent="0.25"/>
  <cols>
    <col min="2" max="2" width="15.5703125" bestFit="1" customWidth="1"/>
  </cols>
  <sheetData>
    <row r="1" spans="1:31" x14ac:dyDescent="0.25">
      <c r="A1" t="s">
        <v>0</v>
      </c>
      <c r="B1" t="s">
        <v>1</v>
      </c>
      <c r="C1" t="s">
        <v>2</v>
      </c>
      <c r="N1" t="s">
        <v>148</v>
      </c>
      <c r="O1" t="s">
        <v>149</v>
      </c>
      <c r="P1" t="s">
        <v>150</v>
      </c>
    </row>
    <row r="2" spans="1:31" x14ac:dyDescent="0.25">
      <c r="A2" t="s">
        <v>3</v>
      </c>
      <c r="B2" t="s">
        <v>76</v>
      </c>
      <c r="N2">
        <v>23595.200000000001</v>
      </c>
      <c r="O2">
        <v>14.25</v>
      </c>
      <c r="P2">
        <v>1.0413390997917669</v>
      </c>
    </row>
    <row r="3" spans="1:31" x14ac:dyDescent="0.25">
      <c r="A3" t="s">
        <v>5</v>
      </c>
      <c r="B3" s="1">
        <v>45427</v>
      </c>
    </row>
    <row r="4" spans="1:31" x14ac:dyDescent="0.25">
      <c r="A4" t="s">
        <v>6</v>
      </c>
      <c r="B4" s="2">
        <f ca="1">NOW()</f>
        <v>45469.571693981481</v>
      </c>
      <c r="G4" t="s">
        <v>151</v>
      </c>
      <c r="H4" t="s">
        <v>152</v>
      </c>
      <c r="I4" t="s">
        <v>153</v>
      </c>
      <c r="J4" t="s">
        <v>154</v>
      </c>
      <c r="K4" t="s">
        <v>155</v>
      </c>
      <c r="L4" t="s">
        <v>156</v>
      </c>
      <c r="M4" t="s">
        <v>157</v>
      </c>
      <c r="N4" t="s">
        <v>158</v>
      </c>
      <c r="O4" t="s">
        <v>159</v>
      </c>
      <c r="P4" t="s">
        <v>160</v>
      </c>
      <c r="Q4" t="s">
        <v>161</v>
      </c>
      <c r="R4" t="s">
        <v>162</v>
      </c>
      <c r="S4" t="s">
        <v>53</v>
      </c>
      <c r="T4" t="s">
        <v>163</v>
      </c>
      <c r="U4" t="s">
        <v>164</v>
      </c>
      <c r="V4" t="s">
        <v>165</v>
      </c>
      <c r="W4" t="s">
        <v>166</v>
      </c>
      <c r="X4" t="s">
        <v>167</v>
      </c>
      <c r="Y4" t="s">
        <v>168</v>
      </c>
      <c r="Z4" t="s">
        <v>169</v>
      </c>
      <c r="AA4" t="s">
        <v>170</v>
      </c>
      <c r="AB4" t="s">
        <v>171</v>
      </c>
      <c r="AC4" t="s">
        <v>172</v>
      </c>
      <c r="AD4" t="s">
        <v>173</v>
      </c>
      <c r="AE4" t="s">
        <v>174</v>
      </c>
    </row>
    <row r="5" spans="1:31" x14ac:dyDescent="0.25">
      <c r="A5" t="s">
        <v>7</v>
      </c>
      <c r="B5">
        <v>47754.1</v>
      </c>
      <c r="C5">
        <v>48075</v>
      </c>
      <c r="F5">
        <v>0</v>
      </c>
      <c r="G5">
        <v>1052.5999999999999</v>
      </c>
      <c r="H5">
        <v>992.65</v>
      </c>
      <c r="I5">
        <v>1024</v>
      </c>
      <c r="J5">
        <v>242.25</v>
      </c>
      <c r="K5">
        <v>30.99</v>
      </c>
      <c r="L5" t="s">
        <v>1</v>
      </c>
      <c r="M5" t="s">
        <v>505</v>
      </c>
      <c r="N5">
        <v>320</v>
      </c>
      <c r="O5">
        <v>0</v>
      </c>
      <c r="P5">
        <v>0</v>
      </c>
      <c r="Q5">
        <v>320</v>
      </c>
      <c r="R5">
        <v>40</v>
      </c>
      <c r="S5">
        <v>22600</v>
      </c>
      <c r="T5">
        <v>10.95</v>
      </c>
      <c r="U5">
        <v>10.85</v>
      </c>
      <c r="V5">
        <v>10.8</v>
      </c>
      <c r="W5">
        <v>-23.15</v>
      </c>
      <c r="X5">
        <v>-68.19</v>
      </c>
      <c r="Y5" t="s">
        <v>2</v>
      </c>
      <c r="Z5" t="s">
        <v>506</v>
      </c>
      <c r="AA5">
        <v>179760</v>
      </c>
      <c r="AB5">
        <v>103600</v>
      </c>
      <c r="AC5">
        <v>136.03</v>
      </c>
      <c r="AD5">
        <v>76160</v>
      </c>
      <c r="AE5">
        <v>962040</v>
      </c>
    </row>
    <row r="6" spans="1:31" x14ac:dyDescent="0.25">
      <c r="A6" t="s">
        <v>8</v>
      </c>
      <c r="B6">
        <v>47389.8</v>
      </c>
      <c r="C6">
        <v>47600</v>
      </c>
      <c r="F6">
        <v>1</v>
      </c>
      <c r="G6">
        <v>999.75</v>
      </c>
      <c r="H6">
        <v>939.45</v>
      </c>
      <c r="I6">
        <v>924.05</v>
      </c>
      <c r="J6">
        <v>0</v>
      </c>
      <c r="K6">
        <v>0</v>
      </c>
      <c r="L6" t="s">
        <v>1</v>
      </c>
      <c r="M6" t="s">
        <v>507</v>
      </c>
      <c r="N6">
        <v>160</v>
      </c>
      <c r="O6">
        <v>0</v>
      </c>
      <c r="P6">
        <v>0</v>
      </c>
      <c r="Q6">
        <v>160</v>
      </c>
      <c r="R6">
        <v>120</v>
      </c>
      <c r="S6">
        <v>22650</v>
      </c>
      <c r="T6">
        <v>11.9</v>
      </c>
      <c r="U6">
        <v>11.8</v>
      </c>
      <c r="V6">
        <v>11.9</v>
      </c>
      <c r="W6">
        <v>-20.65</v>
      </c>
      <c r="X6">
        <v>-63.44</v>
      </c>
      <c r="Y6" t="s">
        <v>2</v>
      </c>
      <c r="Z6" t="s">
        <v>508</v>
      </c>
      <c r="AA6">
        <v>96080</v>
      </c>
      <c r="AB6">
        <v>96040</v>
      </c>
      <c r="AC6">
        <v>240100</v>
      </c>
      <c r="AD6">
        <v>40</v>
      </c>
      <c r="AE6">
        <v>257960</v>
      </c>
    </row>
    <row r="7" spans="1:31" x14ac:dyDescent="0.25">
      <c r="A7" t="s">
        <v>9</v>
      </c>
      <c r="B7">
        <v>47841.599999999999</v>
      </c>
      <c r="C7">
        <v>48075</v>
      </c>
      <c r="F7">
        <v>2</v>
      </c>
      <c r="G7">
        <v>942.45</v>
      </c>
      <c r="H7">
        <v>888.5</v>
      </c>
      <c r="I7">
        <v>789.9</v>
      </c>
      <c r="J7">
        <v>28.4</v>
      </c>
      <c r="K7">
        <v>3.73</v>
      </c>
      <c r="L7" t="s">
        <v>1</v>
      </c>
      <c r="M7" t="s">
        <v>509</v>
      </c>
      <c r="N7">
        <v>2600</v>
      </c>
      <c r="O7">
        <v>0</v>
      </c>
      <c r="P7">
        <v>0</v>
      </c>
      <c r="Q7">
        <v>2600</v>
      </c>
      <c r="R7">
        <v>280</v>
      </c>
      <c r="S7">
        <v>22700</v>
      </c>
      <c r="T7">
        <v>13.15</v>
      </c>
      <c r="U7">
        <v>13.05</v>
      </c>
      <c r="V7">
        <v>13.1</v>
      </c>
      <c r="W7">
        <v>-25.3</v>
      </c>
      <c r="X7">
        <v>-65.89</v>
      </c>
      <c r="Y7" t="s">
        <v>2</v>
      </c>
      <c r="Z7" t="s">
        <v>510</v>
      </c>
      <c r="AA7">
        <v>217840</v>
      </c>
      <c r="AB7">
        <v>188560</v>
      </c>
      <c r="AC7">
        <v>643.99</v>
      </c>
      <c r="AD7">
        <v>29280</v>
      </c>
      <c r="AE7">
        <v>1091400</v>
      </c>
    </row>
    <row r="8" spans="1:31" x14ac:dyDescent="0.25">
      <c r="A8" t="s">
        <v>10</v>
      </c>
      <c r="B8">
        <v>46983.25</v>
      </c>
      <c r="C8">
        <v>47200</v>
      </c>
      <c r="F8">
        <v>3</v>
      </c>
      <c r="G8">
        <v>907.2</v>
      </c>
      <c r="H8">
        <v>851.4</v>
      </c>
      <c r="I8">
        <v>569.25</v>
      </c>
      <c r="J8">
        <v>-266.5</v>
      </c>
      <c r="K8">
        <v>-31.89</v>
      </c>
      <c r="L8" t="s">
        <v>1</v>
      </c>
      <c r="M8" t="s">
        <v>511</v>
      </c>
      <c r="N8">
        <v>0</v>
      </c>
      <c r="O8">
        <v>0</v>
      </c>
      <c r="P8">
        <v>0</v>
      </c>
      <c r="Q8">
        <v>80</v>
      </c>
      <c r="R8">
        <v>0</v>
      </c>
      <c r="S8">
        <v>22750</v>
      </c>
      <c r="T8">
        <v>14.5</v>
      </c>
      <c r="U8">
        <v>14.35</v>
      </c>
      <c r="V8">
        <v>14.5</v>
      </c>
      <c r="W8">
        <v>-29.6</v>
      </c>
      <c r="X8">
        <v>-67.12</v>
      </c>
      <c r="Y8" t="s">
        <v>2</v>
      </c>
      <c r="Z8" t="s">
        <v>512</v>
      </c>
      <c r="AA8">
        <v>129760</v>
      </c>
      <c r="AB8">
        <v>129640</v>
      </c>
      <c r="AC8">
        <v>108033.33</v>
      </c>
      <c r="AD8">
        <v>120</v>
      </c>
      <c r="AE8">
        <v>272760</v>
      </c>
    </row>
    <row r="9" spans="1:31" x14ac:dyDescent="0.25">
      <c r="A9" t="s">
        <v>11</v>
      </c>
      <c r="B9">
        <v>47421.1</v>
      </c>
      <c r="C9">
        <v>47607.25</v>
      </c>
      <c r="F9">
        <v>4</v>
      </c>
      <c r="G9">
        <v>847.25</v>
      </c>
      <c r="H9">
        <v>785.9</v>
      </c>
      <c r="I9">
        <v>655.55</v>
      </c>
      <c r="J9">
        <v>-85.4</v>
      </c>
      <c r="K9">
        <v>-11.53</v>
      </c>
      <c r="L9" t="s">
        <v>1</v>
      </c>
      <c r="M9" t="s">
        <v>513</v>
      </c>
      <c r="N9">
        <v>1600</v>
      </c>
      <c r="O9">
        <v>-40</v>
      </c>
      <c r="P9">
        <v>-2.44</v>
      </c>
      <c r="Q9">
        <v>1640</v>
      </c>
      <c r="R9">
        <v>360</v>
      </c>
      <c r="S9">
        <v>22800</v>
      </c>
      <c r="T9">
        <v>16.3</v>
      </c>
      <c r="U9">
        <v>16.2</v>
      </c>
      <c r="V9">
        <v>16.25</v>
      </c>
      <c r="W9">
        <v>-28.25</v>
      </c>
      <c r="X9">
        <v>-63.48</v>
      </c>
      <c r="Y9" t="s">
        <v>2</v>
      </c>
      <c r="Z9" t="s">
        <v>514</v>
      </c>
      <c r="AA9">
        <v>148880</v>
      </c>
      <c r="AB9">
        <v>91360</v>
      </c>
      <c r="AC9">
        <v>158.83000000000001</v>
      </c>
      <c r="AD9">
        <v>57520</v>
      </c>
      <c r="AE9">
        <v>804240</v>
      </c>
    </row>
    <row r="10" spans="1:31" x14ac:dyDescent="0.25">
      <c r="A10" t="s">
        <v>12</v>
      </c>
      <c r="B10">
        <v>156036</v>
      </c>
      <c r="F10">
        <v>5</v>
      </c>
      <c r="G10">
        <v>797.85</v>
      </c>
      <c r="H10">
        <v>763.25</v>
      </c>
      <c r="I10">
        <v>599</v>
      </c>
      <c r="J10">
        <v>-151.5</v>
      </c>
      <c r="K10">
        <v>-20.190000000000001</v>
      </c>
      <c r="L10" t="s">
        <v>1</v>
      </c>
      <c r="M10" t="s">
        <v>515</v>
      </c>
      <c r="N10">
        <v>0</v>
      </c>
      <c r="O10">
        <v>0</v>
      </c>
      <c r="P10">
        <v>0</v>
      </c>
      <c r="Q10">
        <v>160</v>
      </c>
      <c r="R10">
        <v>0</v>
      </c>
      <c r="S10">
        <v>22850</v>
      </c>
      <c r="T10">
        <v>18.45</v>
      </c>
      <c r="U10">
        <v>18.25</v>
      </c>
      <c r="V10">
        <v>18.25</v>
      </c>
      <c r="W10">
        <v>-30.1</v>
      </c>
      <c r="X10">
        <v>-62.25</v>
      </c>
      <c r="Y10" t="s">
        <v>2</v>
      </c>
      <c r="Z10" t="s">
        <v>516</v>
      </c>
      <c r="AA10">
        <v>45040</v>
      </c>
      <c r="AB10">
        <v>30680</v>
      </c>
      <c r="AC10">
        <v>213.65</v>
      </c>
      <c r="AD10">
        <v>14360</v>
      </c>
      <c r="AE10">
        <v>272680</v>
      </c>
    </row>
    <row r="11" spans="1:31" x14ac:dyDescent="0.25">
      <c r="A11" t="s">
        <v>13</v>
      </c>
      <c r="B11">
        <v>48000</v>
      </c>
      <c r="F11">
        <v>6</v>
      </c>
      <c r="G11">
        <v>746.15</v>
      </c>
      <c r="H11">
        <v>725.25</v>
      </c>
      <c r="I11">
        <v>720.55</v>
      </c>
      <c r="J11">
        <v>54.4</v>
      </c>
      <c r="K11">
        <v>8.17</v>
      </c>
      <c r="L11" t="s">
        <v>1</v>
      </c>
      <c r="M11" t="s">
        <v>517</v>
      </c>
      <c r="N11">
        <v>6320</v>
      </c>
      <c r="O11">
        <v>360</v>
      </c>
      <c r="P11">
        <v>6.04</v>
      </c>
      <c r="Q11">
        <v>5960</v>
      </c>
      <c r="R11">
        <v>10160</v>
      </c>
      <c r="S11">
        <v>22900</v>
      </c>
      <c r="T11">
        <v>20.85</v>
      </c>
      <c r="U11">
        <v>20.7</v>
      </c>
      <c r="V11">
        <v>20.85</v>
      </c>
      <c r="W11">
        <v>-31.45</v>
      </c>
      <c r="X11">
        <v>-60.13</v>
      </c>
      <c r="Y11" t="s">
        <v>2</v>
      </c>
      <c r="Z11" t="s">
        <v>518</v>
      </c>
      <c r="AA11">
        <v>169800</v>
      </c>
      <c r="AB11">
        <v>52200</v>
      </c>
      <c r="AC11">
        <v>44.39</v>
      </c>
      <c r="AD11">
        <v>117600</v>
      </c>
      <c r="AE11">
        <v>899320</v>
      </c>
    </row>
    <row r="12" spans="1:31" x14ac:dyDescent="0.25">
      <c r="A12" t="s">
        <v>14</v>
      </c>
      <c r="B12">
        <v>189.2</v>
      </c>
      <c r="C12">
        <v>337.85</v>
      </c>
      <c r="F12">
        <v>7</v>
      </c>
      <c r="G12">
        <v>708.85</v>
      </c>
      <c r="H12">
        <v>672.05</v>
      </c>
      <c r="I12">
        <v>627.6</v>
      </c>
      <c r="J12">
        <v>5.05</v>
      </c>
      <c r="K12">
        <v>0.81</v>
      </c>
      <c r="L12" t="s">
        <v>1</v>
      </c>
      <c r="M12" t="s">
        <v>519</v>
      </c>
      <c r="N12">
        <v>0</v>
      </c>
      <c r="O12">
        <v>0</v>
      </c>
      <c r="P12">
        <v>0</v>
      </c>
      <c r="Q12">
        <v>1320</v>
      </c>
      <c r="R12">
        <v>0</v>
      </c>
      <c r="S12">
        <v>22950</v>
      </c>
      <c r="T12">
        <v>24.05</v>
      </c>
      <c r="U12">
        <v>23.8</v>
      </c>
      <c r="V12">
        <v>23.85</v>
      </c>
      <c r="W12">
        <v>-32.299999999999997</v>
      </c>
      <c r="X12">
        <v>-57.52</v>
      </c>
      <c r="Y12" t="s">
        <v>2</v>
      </c>
      <c r="Z12" t="s">
        <v>520</v>
      </c>
      <c r="AA12">
        <v>56840</v>
      </c>
      <c r="AB12">
        <v>44320</v>
      </c>
      <c r="AC12">
        <v>353.99</v>
      </c>
      <c r="AD12">
        <v>12520</v>
      </c>
      <c r="AE12">
        <v>363040</v>
      </c>
    </row>
    <row r="13" spans="1:31" x14ac:dyDescent="0.25">
      <c r="A13" t="s">
        <v>15</v>
      </c>
      <c r="B13">
        <v>48100</v>
      </c>
      <c r="F13">
        <v>8</v>
      </c>
      <c r="G13">
        <v>643.95000000000005</v>
      </c>
      <c r="H13">
        <v>640.04999999999995</v>
      </c>
      <c r="I13">
        <v>647</v>
      </c>
      <c r="J13">
        <v>69.099999999999994</v>
      </c>
      <c r="K13">
        <v>11.96</v>
      </c>
      <c r="L13" t="s">
        <v>1</v>
      </c>
      <c r="M13" t="s">
        <v>521</v>
      </c>
      <c r="N13">
        <v>36760</v>
      </c>
      <c r="O13">
        <v>-8160</v>
      </c>
      <c r="P13">
        <v>-18.170000000000002</v>
      </c>
      <c r="Q13">
        <v>44920</v>
      </c>
      <c r="R13">
        <v>60920</v>
      </c>
      <c r="S13">
        <v>23000</v>
      </c>
      <c r="T13">
        <v>27.75</v>
      </c>
      <c r="U13">
        <v>27.5</v>
      </c>
      <c r="V13">
        <v>27.55</v>
      </c>
      <c r="W13">
        <v>-35</v>
      </c>
      <c r="X13">
        <v>-55.96</v>
      </c>
      <c r="Y13" t="s">
        <v>2</v>
      </c>
      <c r="Z13" t="s">
        <v>522</v>
      </c>
      <c r="AA13">
        <v>454280</v>
      </c>
      <c r="AB13">
        <v>243360</v>
      </c>
      <c r="AC13">
        <v>115.38</v>
      </c>
      <c r="AD13">
        <v>210920</v>
      </c>
      <c r="AE13">
        <v>2246320</v>
      </c>
    </row>
    <row r="14" spans="1:31" x14ac:dyDescent="0.25">
      <c r="A14" t="s">
        <v>16</v>
      </c>
      <c r="B14">
        <v>153.69999999999999</v>
      </c>
      <c r="C14">
        <v>399</v>
      </c>
      <c r="F14">
        <v>9</v>
      </c>
      <c r="G14">
        <v>608.85</v>
      </c>
      <c r="H14">
        <v>583.5</v>
      </c>
      <c r="I14">
        <v>594.65</v>
      </c>
      <c r="J14">
        <v>53.4</v>
      </c>
      <c r="K14">
        <v>9.8699999999999992</v>
      </c>
      <c r="L14" t="s">
        <v>1</v>
      </c>
      <c r="M14" t="s">
        <v>523</v>
      </c>
      <c r="N14">
        <v>3000</v>
      </c>
      <c r="O14">
        <v>-160</v>
      </c>
      <c r="P14">
        <v>-5.0599999999999996</v>
      </c>
      <c r="Q14">
        <v>3160</v>
      </c>
      <c r="R14">
        <v>640</v>
      </c>
      <c r="S14">
        <v>23050</v>
      </c>
      <c r="T14">
        <v>31.9</v>
      </c>
      <c r="U14">
        <v>31.6</v>
      </c>
      <c r="V14">
        <v>31.55</v>
      </c>
      <c r="W14">
        <v>-34.35</v>
      </c>
      <c r="X14">
        <v>-52.12</v>
      </c>
      <c r="Y14" t="s">
        <v>2</v>
      </c>
      <c r="Z14" t="s">
        <v>524</v>
      </c>
      <c r="AA14">
        <v>72640</v>
      </c>
      <c r="AB14">
        <v>55400</v>
      </c>
      <c r="AC14">
        <v>321.35000000000002</v>
      </c>
      <c r="AD14">
        <v>17240</v>
      </c>
      <c r="AE14">
        <v>538800</v>
      </c>
    </row>
    <row r="15" spans="1:31" x14ac:dyDescent="0.25">
      <c r="A15" t="s">
        <v>17</v>
      </c>
      <c r="B15">
        <v>2846914</v>
      </c>
      <c r="C15">
        <v>2584448</v>
      </c>
      <c r="F15">
        <v>10</v>
      </c>
      <c r="G15">
        <v>554</v>
      </c>
      <c r="H15">
        <v>549</v>
      </c>
      <c r="I15">
        <v>556.9</v>
      </c>
      <c r="J15">
        <v>65.5</v>
      </c>
      <c r="K15">
        <v>13.33</v>
      </c>
      <c r="L15" t="s">
        <v>1</v>
      </c>
      <c r="M15" t="s">
        <v>525</v>
      </c>
      <c r="N15">
        <v>15160</v>
      </c>
      <c r="O15">
        <v>1040</v>
      </c>
      <c r="P15">
        <v>7.37</v>
      </c>
      <c r="Q15">
        <v>14120</v>
      </c>
      <c r="R15">
        <v>8960</v>
      </c>
      <c r="S15">
        <v>23100</v>
      </c>
      <c r="T15">
        <v>36.65</v>
      </c>
      <c r="U15">
        <v>36.450000000000003</v>
      </c>
      <c r="V15">
        <v>36.700000000000003</v>
      </c>
      <c r="W15">
        <v>-38.9</v>
      </c>
      <c r="X15">
        <v>-51.46</v>
      </c>
      <c r="Y15" t="s">
        <v>2</v>
      </c>
      <c r="Z15" t="s">
        <v>526</v>
      </c>
      <c r="AA15">
        <v>164720</v>
      </c>
      <c r="AB15">
        <v>106440</v>
      </c>
      <c r="AC15">
        <v>182.64</v>
      </c>
      <c r="AD15">
        <v>58280</v>
      </c>
      <c r="AE15">
        <v>1418200</v>
      </c>
    </row>
    <row r="16" spans="1:31" x14ac:dyDescent="0.25">
      <c r="A16" t="s">
        <v>18</v>
      </c>
      <c r="B16">
        <v>-211477</v>
      </c>
      <c r="C16">
        <v>586536</v>
      </c>
      <c r="F16">
        <v>11</v>
      </c>
      <c r="G16">
        <v>514.15</v>
      </c>
      <c r="H16">
        <v>498.05</v>
      </c>
      <c r="I16">
        <v>475</v>
      </c>
      <c r="J16">
        <v>20.399999999999999</v>
      </c>
      <c r="K16">
        <v>4.49</v>
      </c>
      <c r="L16" t="s">
        <v>1</v>
      </c>
      <c r="M16" t="s">
        <v>527</v>
      </c>
      <c r="N16">
        <v>8600</v>
      </c>
      <c r="O16">
        <v>480</v>
      </c>
      <c r="P16">
        <v>5.91</v>
      </c>
      <c r="Q16">
        <v>8120</v>
      </c>
      <c r="R16">
        <v>5240</v>
      </c>
      <c r="S16">
        <v>23150</v>
      </c>
      <c r="T16">
        <v>43</v>
      </c>
      <c r="U16">
        <v>42.8</v>
      </c>
      <c r="V16">
        <v>43.35</v>
      </c>
      <c r="W16">
        <v>-39.950000000000003</v>
      </c>
      <c r="X16">
        <v>-47.96</v>
      </c>
      <c r="Y16" t="s">
        <v>2</v>
      </c>
      <c r="Z16" t="s">
        <v>528</v>
      </c>
      <c r="AA16">
        <v>75320</v>
      </c>
      <c r="AB16">
        <v>46120</v>
      </c>
      <c r="AC16">
        <v>157.94999999999999</v>
      </c>
      <c r="AD16">
        <v>29200</v>
      </c>
      <c r="AE16">
        <v>780040</v>
      </c>
    </row>
    <row r="17" spans="1:31" x14ac:dyDescent="0.25">
      <c r="A17" t="s">
        <v>19</v>
      </c>
      <c r="B17">
        <v>195915</v>
      </c>
      <c r="C17">
        <v>157009</v>
      </c>
      <c r="F17">
        <v>12</v>
      </c>
      <c r="G17">
        <v>465.2</v>
      </c>
      <c r="H17">
        <v>463.1</v>
      </c>
      <c r="I17">
        <v>462.85</v>
      </c>
      <c r="J17">
        <v>53.4</v>
      </c>
      <c r="K17">
        <v>13.04</v>
      </c>
      <c r="L17" t="s">
        <v>1</v>
      </c>
      <c r="M17" t="s">
        <v>529</v>
      </c>
      <c r="N17">
        <v>35080</v>
      </c>
      <c r="O17">
        <v>-8240</v>
      </c>
      <c r="P17">
        <v>-19.02</v>
      </c>
      <c r="Q17">
        <v>43320</v>
      </c>
      <c r="R17">
        <v>102720</v>
      </c>
      <c r="S17">
        <v>23200</v>
      </c>
      <c r="T17">
        <v>50.15</v>
      </c>
      <c r="U17">
        <v>49.95</v>
      </c>
      <c r="V17">
        <v>49.7</v>
      </c>
      <c r="W17">
        <v>-44.95</v>
      </c>
      <c r="X17">
        <v>-47.49</v>
      </c>
      <c r="Y17" t="s">
        <v>2</v>
      </c>
      <c r="Z17" t="s">
        <v>530</v>
      </c>
      <c r="AA17">
        <v>258120</v>
      </c>
      <c r="AB17">
        <v>93720</v>
      </c>
      <c r="AC17">
        <v>57.01</v>
      </c>
      <c r="AD17">
        <v>164400</v>
      </c>
      <c r="AE17">
        <v>1791200</v>
      </c>
    </row>
    <row r="18" spans="1:31" x14ac:dyDescent="0.25">
      <c r="A18" t="s">
        <v>20</v>
      </c>
      <c r="B18">
        <v>48000</v>
      </c>
      <c r="C18">
        <v>47000</v>
      </c>
      <c r="F18">
        <v>13</v>
      </c>
      <c r="G18">
        <v>425.45</v>
      </c>
      <c r="H18">
        <v>421.5</v>
      </c>
      <c r="I18">
        <v>428</v>
      </c>
      <c r="J18">
        <v>60.05</v>
      </c>
      <c r="K18">
        <v>16.32</v>
      </c>
      <c r="L18" t="s">
        <v>1</v>
      </c>
      <c r="M18" t="s">
        <v>531</v>
      </c>
      <c r="N18">
        <v>12160</v>
      </c>
      <c r="O18">
        <v>960</v>
      </c>
      <c r="P18">
        <v>8.57</v>
      </c>
      <c r="Q18">
        <v>11200</v>
      </c>
      <c r="R18">
        <v>104200</v>
      </c>
      <c r="S18">
        <v>23250</v>
      </c>
      <c r="T18">
        <v>58.65</v>
      </c>
      <c r="U18">
        <v>58.45</v>
      </c>
      <c r="V18">
        <v>58.85</v>
      </c>
      <c r="W18">
        <v>-45</v>
      </c>
      <c r="X18">
        <v>-43.33</v>
      </c>
      <c r="Y18" t="s">
        <v>2</v>
      </c>
      <c r="Z18" t="s">
        <v>532</v>
      </c>
      <c r="AA18">
        <v>74720</v>
      </c>
      <c r="AB18">
        <v>49040</v>
      </c>
      <c r="AC18">
        <v>190.97</v>
      </c>
      <c r="AD18">
        <v>25680</v>
      </c>
      <c r="AE18">
        <v>1018360</v>
      </c>
    </row>
    <row r="19" spans="1:31" x14ac:dyDescent="0.25">
      <c r="A19" t="s">
        <v>21</v>
      </c>
      <c r="B19">
        <v>189.2</v>
      </c>
      <c r="C19">
        <v>39.799999999999997</v>
      </c>
      <c r="F19">
        <v>14</v>
      </c>
      <c r="G19">
        <v>384.9</v>
      </c>
      <c r="H19">
        <v>382.45</v>
      </c>
      <c r="I19">
        <v>378.3</v>
      </c>
      <c r="J19">
        <v>45.9</v>
      </c>
      <c r="K19">
        <v>13.81</v>
      </c>
      <c r="L19" t="s">
        <v>1</v>
      </c>
      <c r="M19" t="s">
        <v>533</v>
      </c>
      <c r="N19">
        <v>102760</v>
      </c>
      <c r="O19">
        <v>3560</v>
      </c>
      <c r="P19">
        <v>3.59</v>
      </c>
      <c r="Q19">
        <v>99200</v>
      </c>
      <c r="R19">
        <v>240560</v>
      </c>
      <c r="S19">
        <v>23300</v>
      </c>
      <c r="T19">
        <v>68.55</v>
      </c>
      <c r="U19">
        <v>68.3</v>
      </c>
      <c r="V19">
        <v>68</v>
      </c>
      <c r="W19">
        <v>-50.9</v>
      </c>
      <c r="X19">
        <v>-42.81</v>
      </c>
      <c r="Y19" t="s">
        <v>2</v>
      </c>
      <c r="Z19" t="s">
        <v>534</v>
      </c>
      <c r="AA19">
        <v>275280</v>
      </c>
      <c r="AB19">
        <v>95720</v>
      </c>
      <c r="AC19">
        <v>53.31</v>
      </c>
      <c r="AD19">
        <v>179560</v>
      </c>
      <c r="AE19">
        <v>2469200</v>
      </c>
    </row>
    <row r="20" spans="1:31" x14ac:dyDescent="0.25">
      <c r="A20" t="s">
        <v>22</v>
      </c>
      <c r="B20">
        <v>16940</v>
      </c>
      <c r="C20">
        <v>63125</v>
      </c>
      <c r="F20">
        <v>15</v>
      </c>
      <c r="G20">
        <v>347.15</v>
      </c>
      <c r="H20">
        <v>344.75</v>
      </c>
      <c r="I20">
        <v>346.5</v>
      </c>
      <c r="J20">
        <v>47.1</v>
      </c>
      <c r="K20">
        <v>15.73</v>
      </c>
      <c r="L20" t="s">
        <v>1</v>
      </c>
      <c r="M20" t="s">
        <v>535</v>
      </c>
      <c r="N20">
        <v>25520</v>
      </c>
      <c r="O20">
        <v>8440</v>
      </c>
      <c r="P20">
        <v>49.41</v>
      </c>
      <c r="Q20">
        <v>17080</v>
      </c>
      <c r="R20">
        <v>329800</v>
      </c>
      <c r="S20">
        <v>23350</v>
      </c>
      <c r="T20">
        <v>80.650000000000006</v>
      </c>
      <c r="U20">
        <v>80.3</v>
      </c>
      <c r="V20">
        <v>81.25</v>
      </c>
      <c r="W20">
        <v>-49.9</v>
      </c>
      <c r="X20">
        <v>-38.049999999999997</v>
      </c>
      <c r="Y20" t="s">
        <v>2</v>
      </c>
      <c r="Z20" t="s">
        <v>536</v>
      </c>
      <c r="AA20">
        <v>92720</v>
      </c>
      <c r="AB20">
        <v>71080</v>
      </c>
      <c r="AC20">
        <v>328.47</v>
      </c>
      <c r="AD20">
        <v>21640</v>
      </c>
      <c r="AE20">
        <v>1366640</v>
      </c>
    </row>
    <row r="21" spans="1:31" x14ac:dyDescent="0.25">
      <c r="A21" t="s">
        <v>23</v>
      </c>
      <c r="B21">
        <v>47000</v>
      </c>
      <c r="C21">
        <v>47000</v>
      </c>
      <c r="F21">
        <v>16</v>
      </c>
      <c r="G21">
        <v>308.89999999999998</v>
      </c>
      <c r="H21">
        <v>307.85000000000002</v>
      </c>
      <c r="I21">
        <v>308.8</v>
      </c>
      <c r="J21">
        <v>46.6</v>
      </c>
      <c r="K21">
        <v>17.77</v>
      </c>
      <c r="L21" t="s">
        <v>1</v>
      </c>
      <c r="M21" t="s">
        <v>251</v>
      </c>
      <c r="N21">
        <v>150960</v>
      </c>
      <c r="O21">
        <v>2920</v>
      </c>
      <c r="P21">
        <v>1.97</v>
      </c>
      <c r="Q21">
        <v>148040</v>
      </c>
      <c r="R21">
        <v>1705640</v>
      </c>
      <c r="S21">
        <v>23400</v>
      </c>
      <c r="T21">
        <v>94.45</v>
      </c>
      <c r="U21">
        <v>94.1</v>
      </c>
      <c r="V21">
        <v>94</v>
      </c>
      <c r="W21">
        <v>-58.85</v>
      </c>
      <c r="X21">
        <v>-38.5</v>
      </c>
      <c r="Y21" t="s">
        <v>2</v>
      </c>
      <c r="Z21" t="s">
        <v>252</v>
      </c>
      <c r="AA21">
        <v>351960</v>
      </c>
      <c r="AB21">
        <v>145080</v>
      </c>
      <c r="AC21">
        <v>70.13</v>
      </c>
      <c r="AD21">
        <v>206880</v>
      </c>
      <c r="AE21">
        <v>3720000</v>
      </c>
    </row>
    <row r="22" spans="1:31" x14ac:dyDescent="0.25">
      <c r="A22" t="s">
        <v>24</v>
      </c>
      <c r="B22">
        <v>888.05</v>
      </c>
      <c r="C22">
        <v>39.799999999999997</v>
      </c>
      <c r="F22">
        <v>17</v>
      </c>
      <c r="G22">
        <v>274.95</v>
      </c>
      <c r="H22">
        <v>274.10000000000002</v>
      </c>
      <c r="I22">
        <v>272.95</v>
      </c>
      <c r="J22">
        <v>44.2</v>
      </c>
      <c r="K22">
        <v>19.32</v>
      </c>
      <c r="L22" t="s">
        <v>1</v>
      </c>
      <c r="M22" t="s">
        <v>253</v>
      </c>
      <c r="N22">
        <v>73200</v>
      </c>
      <c r="O22">
        <v>50880</v>
      </c>
      <c r="P22">
        <v>227.96</v>
      </c>
      <c r="Q22">
        <v>22320</v>
      </c>
      <c r="R22">
        <v>2179160</v>
      </c>
      <c r="S22">
        <v>23450</v>
      </c>
      <c r="T22">
        <v>110.15</v>
      </c>
      <c r="U22">
        <v>109.65</v>
      </c>
      <c r="V22">
        <v>110.35</v>
      </c>
      <c r="W22">
        <v>-63.25</v>
      </c>
      <c r="X22">
        <v>-36.43</v>
      </c>
      <c r="Y22" t="s">
        <v>2</v>
      </c>
      <c r="Z22" t="s">
        <v>254</v>
      </c>
      <c r="AA22">
        <v>194680</v>
      </c>
      <c r="AB22">
        <v>138480</v>
      </c>
      <c r="AC22">
        <v>246.41</v>
      </c>
      <c r="AD22">
        <v>56200</v>
      </c>
      <c r="AE22">
        <v>2642640</v>
      </c>
    </row>
    <row r="23" spans="1:31" x14ac:dyDescent="0.25">
      <c r="A23" t="s">
        <v>25</v>
      </c>
      <c r="B23">
        <v>49781</v>
      </c>
      <c r="C23">
        <v>19430</v>
      </c>
      <c r="F23">
        <v>18</v>
      </c>
      <c r="G23">
        <v>243.05</v>
      </c>
      <c r="H23">
        <v>242.4</v>
      </c>
      <c r="I23">
        <v>242.6</v>
      </c>
      <c r="J23">
        <v>37.15</v>
      </c>
      <c r="K23">
        <v>18.079999999999998</v>
      </c>
      <c r="L23" t="s">
        <v>1</v>
      </c>
      <c r="M23" t="s">
        <v>255</v>
      </c>
      <c r="N23">
        <v>506280</v>
      </c>
      <c r="O23">
        <v>229520</v>
      </c>
      <c r="P23">
        <v>82.93</v>
      </c>
      <c r="Q23">
        <v>276760</v>
      </c>
      <c r="R23">
        <v>6171080</v>
      </c>
      <c r="S23">
        <v>23500</v>
      </c>
      <c r="T23">
        <v>128.30000000000001</v>
      </c>
      <c r="U23">
        <v>127.9</v>
      </c>
      <c r="V23">
        <v>127.45</v>
      </c>
      <c r="W23">
        <v>-66.3</v>
      </c>
      <c r="X23">
        <v>-34.22</v>
      </c>
      <c r="Y23" t="s">
        <v>2</v>
      </c>
      <c r="Z23" t="s">
        <v>256</v>
      </c>
      <c r="AA23">
        <v>591760</v>
      </c>
      <c r="AB23">
        <v>260600</v>
      </c>
      <c r="AC23">
        <v>78.69</v>
      </c>
      <c r="AD23">
        <v>331160</v>
      </c>
      <c r="AE23">
        <v>5443840</v>
      </c>
    </row>
    <row r="24" spans="1:31" x14ac:dyDescent="0.25">
      <c r="A24" t="s">
        <v>26</v>
      </c>
      <c r="B24">
        <v>57000</v>
      </c>
      <c r="C24">
        <v>39500</v>
      </c>
      <c r="F24">
        <v>19</v>
      </c>
      <c r="G24">
        <v>214.1</v>
      </c>
      <c r="H24">
        <v>213.65</v>
      </c>
      <c r="I24">
        <v>214.35</v>
      </c>
      <c r="J24">
        <v>29.8</v>
      </c>
      <c r="K24">
        <v>16.149999999999999</v>
      </c>
      <c r="L24" t="s">
        <v>1</v>
      </c>
      <c r="M24" t="s">
        <v>257</v>
      </c>
      <c r="N24">
        <v>190360</v>
      </c>
      <c r="O24">
        <v>166240</v>
      </c>
      <c r="P24">
        <v>689.22</v>
      </c>
      <c r="Q24">
        <v>24120</v>
      </c>
      <c r="R24">
        <v>3266560</v>
      </c>
      <c r="S24">
        <v>23550</v>
      </c>
      <c r="T24">
        <v>148.9</v>
      </c>
      <c r="U24">
        <v>148.35</v>
      </c>
      <c r="V24">
        <v>149.1</v>
      </c>
      <c r="W24">
        <v>-61.7</v>
      </c>
      <c r="X24">
        <v>-29.27</v>
      </c>
      <c r="Y24" t="s">
        <v>2</v>
      </c>
      <c r="Z24" t="s">
        <v>258</v>
      </c>
      <c r="AA24">
        <v>176360</v>
      </c>
      <c r="AB24">
        <v>165480</v>
      </c>
      <c r="AC24">
        <v>1520.96</v>
      </c>
      <c r="AD24">
        <v>10880</v>
      </c>
      <c r="AE24">
        <v>2056560</v>
      </c>
    </row>
    <row r="25" spans="1:31" x14ac:dyDescent="0.25">
      <c r="A25" t="s">
        <v>27</v>
      </c>
      <c r="B25">
        <v>0.9</v>
      </c>
      <c r="C25">
        <v>1.05</v>
      </c>
      <c r="F25">
        <v>20</v>
      </c>
      <c r="G25">
        <v>187.55</v>
      </c>
      <c r="H25">
        <v>187.05</v>
      </c>
      <c r="I25">
        <v>186.25</v>
      </c>
      <c r="J25">
        <v>26.95</v>
      </c>
      <c r="K25">
        <v>16.920000000000002</v>
      </c>
      <c r="L25" t="s">
        <v>1</v>
      </c>
      <c r="M25" t="s">
        <v>259</v>
      </c>
      <c r="N25">
        <v>348600</v>
      </c>
      <c r="O25">
        <v>202960</v>
      </c>
      <c r="P25">
        <v>139.36000000000001</v>
      </c>
      <c r="Q25">
        <v>145640</v>
      </c>
      <c r="R25">
        <v>4834440</v>
      </c>
      <c r="S25">
        <v>23600</v>
      </c>
      <c r="T25">
        <v>171.85</v>
      </c>
      <c r="U25">
        <v>171.25</v>
      </c>
      <c r="V25">
        <v>171.2</v>
      </c>
      <c r="W25">
        <v>-73.8</v>
      </c>
      <c r="X25">
        <v>-30.12</v>
      </c>
      <c r="Y25" t="s">
        <v>2</v>
      </c>
      <c r="Z25" t="s">
        <v>260</v>
      </c>
      <c r="AA25">
        <v>217800</v>
      </c>
      <c r="AB25">
        <v>185640</v>
      </c>
      <c r="AC25">
        <v>577.24</v>
      </c>
      <c r="AD25">
        <v>32160</v>
      </c>
      <c r="AE25">
        <v>2125800</v>
      </c>
    </row>
    <row r="26" spans="1:31" x14ac:dyDescent="0.25">
      <c r="A26" t="s">
        <v>28</v>
      </c>
      <c r="B26">
        <v>59152340</v>
      </c>
      <c r="C26">
        <v>56634883</v>
      </c>
      <c r="F26">
        <v>21</v>
      </c>
      <c r="G26">
        <v>162.85</v>
      </c>
      <c r="H26">
        <v>162.44999999999999</v>
      </c>
      <c r="I26">
        <v>161.6</v>
      </c>
      <c r="J26">
        <v>23.25</v>
      </c>
      <c r="K26">
        <v>16.809999999999999</v>
      </c>
      <c r="L26" t="s">
        <v>1</v>
      </c>
      <c r="M26" t="s">
        <v>537</v>
      </c>
      <c r="N26">
        <v>109840</v>
      </c>
      <c r="O26">
        <v>97800</v>
      </c>
      <c r="P26">
        <v>812.29</v>
      </c>
      <c r="Q26">
        <v>12040</v>
      </c>
      <c r="R26">
        <v>2200800</v>
      </c>
      <c r="S26">
        <v>23650</v>
      </c>
      <c r="T26">
        <v>197.25</v>
      </c>
      <c r="U26">
        <v>196.55</v>
      </c>
      <c r="V26">
        <v>196.7</v>
      </c>
      <c r="W26">
        <v>-98.8</v>
      </c>
      <c r="X26">
        <v>-33.43</v>
      </c>
      <c r="Y26" t="s">
        <v>2</v>
      </c>
      <c r="Z26" t="s">
        <v>538</v>
      </c>
      <c r="AA26">
        <v>65960</v>
      </c>
      <c r="AB26">
        <v>55200</v>
      </c>
      <c r="AC26">
        <v>513.01</v>
      </c>
      <c r="AD26">
        <v>10760</v>
      </c>
      <c r="AE26">
        <v>538040</v>
      </c>
    </row>
    <row r="27" spans="1:31" x14ac:dyDescent="0.25">
      <c r="A27" t="s">
        <v>29</v>
      </c>
      <c r="B27">
        <v>47500</v>
      </c>
      <c r="C27">
        <v>47000</v>
      </c>
      <c r="F27">
        <v>22</v>
      </c>
      <c r="G27">
        <v>140.65</v>
      </c>
      <c r="H27">
        <v>140.19999999999999</v>
      </c>
      <c r="I27">
        <v>140.25</v>
      </c>
      <c r="J27">
        <v>20.05</v>
      </c>
      <c r="K27">
        <v>16.68</v>
      </c>
      <c r="L27" t="s">
        <v>1</v>
      </c>
      <c r="M27" t="s">
        <v>539</v>
      </c>
      <c r="N27">
        <v>206360</v>
      </c>
      <c r="O27">
        <v>83360</v>
      </c>
      <c r="P27">
        <v>67.77</v>
      </c>
      <c r="Q27">
        <v>123000</v>
      </c>
      <c r="R27">
        <v>2751200</v>
      </c>
      <c r="S27">
        <v>23700</v>
      </c>
      <c r="T27">
        <v>225.6</v>
      </c>
      <c r="U27">
        <v>224.9</v>
      </c>
      <c r="V27">
        <v>224.9</v>
      </c>
      <c r="W27">
        <v>-92.05</v>
      </c>
      <c r="X27">
        <v>-29.04</v>
      </c>
      <c r="Y27" t="s">
        <v>2</v>
      </c>
      <c r="Z27" t="s">
        <v>540</v>
      </c>
      <c r="AA27">
        <v>41440</v>
      </c>
      <c r="AB27">
        <v>30800</v>
      </c>
      <c r="AC27">
        <v>289.47000000000003</v>
      </c>
      <c r="AD27">
        <v>10640</v>
      </c>
      <c r="AE27">
        <v>335120</v>
      </c>
    </row>
    <row r="28" spans="1:31" x14ac:dyDescent="0.25">
      <c r="A28" t="s">
        <v>30</v>
      </c>
      <c r="B28">
        <v>470.15</v>
      </c>
      <c r="C28">
        <v>39.799999999999997</v>
      </c>
      <c r="F28">
        <v>23</v>
      </c>
      <c r="G28">
        <v>120.95</v>
      </c>
      <c r="H28">
        <v>120.75</v>
      </c>
      <c r="I28">
        <v>121.35</v>
      </c>
      <c r="J28">
        <v>21.15</v>
      </c>
      <c r="K28">
        <v>21.11</v>
      </c>
      <c r="L28" t="s">
        <v>1</v>
      </c>
      <c r="M28" t="s">
        <v>541</v>
      </c>
      <c r="N28">
        <v>90720</v>
      </c>
      <c r="O28">
        <v>65440</v>
      </c>
      <c r="P28">
        <v>258.86</v>
      </c>
      <c r="Q28">
        <v>25280</v>
      </c>
      <c r="R28">
        <v>1535520</v>
      </c>
      <c r="S28">
        <v>23750</v>
      </c>
      <c r="T28">
        <v>256.39999999999998</v>
      </c>
      <c r="U28">
        <v>255.2</v>
      </c>
      <c r="V28">
        <v>257.95</v>
      </c>
      <c r="W28">
        <v>-140.35</v>
      </c>
      <c r="X28">
        <v>-35.24</v>
      </c>
      <c r="Y28" t="s">
        <v>2</v>
      </c>
      <c r="Z28" t="s">
        <v>542</v>
      </c>
      <c r="AA28">
        <v>8640</v>
      </c>
      <c r="AB28">
        <v>8640</v>
      </c>
      <c r="AC28">
        <v>0</v>
      </c>
      <c r="AD28">
        <v>0</v>
      </c>
      <c r="AE28">
        <v>54560</v>
      </c>
    </row>
    <row r="29" spans="1:31" x14ac:dyDescent="0.25">
      <c r="F29">
        <v>24</v>
      </c>
      <c r="G29">
        <v>104.2</v>
      </c>
      <c r="H29">
        <v>103.8</v>
      </c>
      <c r="I29">
        <v>104.4</v>
      </c>
      <c r="J29">
        <v>17.25</v>
      </c>
      <c r="K29">
        <v>19.79</v>
      </c>
      <c r="L29" t="s">
        <v>1</v>
      </c>
      <c r="M29" t="s">
        <v>543</v>
      </c>
      <c r="N29">
        <v>214040</v>
      </c>
      <c r="O29">
        <v>150960</v>
      </c>
      <c r="P29">
        <v>239.32</v>
      </c>
      <c r="Q29">
        <v>63080</v>
      </c>
      <c r="R29">
        <v>2286800</v>
      </c>
      <c r="S29">
        <v>23800</v>
      </c>
      <c r="T29">
        <v>289.14999999999998</v>
      </c>
      <c r="U29">
        <v>287.60000000000002</v>
      </c>
      <c r="V29">
        <v>287.39999999999998</v>
      </c>
      <c r="W29">
        <v>-142.55000000000001</v>
      </c>
      <c r="X29">
        <v>-33.159999999999997</v>
      </c>
      <c r="Y29" t="s">
        <v>2</v>
      </c>
      <c r="Z29" t="s">
        <v>544</v>
      </c>
      <c r="AA29">
        <v>18440</v>
      </c>
      <c r="AB29">
        <v>18440</v>
      </c>
      <c r="AC29">
        <v>0</v>
      </c>
      <c r="AD29">
        <v>0</v>
      </c>
      <c r="AE29">
        <v>97280</v>
      </c>
    </row>
    <row r="30" spans="1:31" x14ac:dyDescent="0.25">
      <c r="F30">
        <v>25</v>
      </c>
      <c r="G30">
        <v>89.3</v>
      </c>
      <c r="H30">
        <v>88.9</v>
      </c>
      <c r="I30">
        <v>89.4</v>
      </c>
      <c r="J30">
        <v>13.6</v>
      </c>
      <c r="K30">
        <v>17.940000000000001</v>
      </c>
      <c r="L30" t="s">
        <v>1</v>
      </c>
      <c r="M30" t="s">
        <v>545</v>
      </c>
      <c r="N30">
        <v>76760</v>
      </c>
      <c r="O30">
        <v>71120</v>
      </c>
      <c r="P30">
        <v>1260.99</v>
      </c>
      <c r="Q30">
        <v>5640</v>
      </c>
      <c r="R30">
        <v>1026320</v>
      </c>
      <c r="S30">
        <v>23850</v>
      </c>
      <c r="T30">
        <v>324.14999999999998</v>
      </c>
      <c r="U30">
        <v>322.7</v>
      </c>
      <c r="V30">
        <v>325</v>
      </c>
      <c r="W30">
        <v>-137.85</v>
      </c>
      <c r="X30">
        <v>-29.78</v>
      </c>
      <c r="Y30" t="s">
        <v>2</v>
      </c>
      <c r="Z30" t="s">
        <v>546</v>
      </c>
      <c r="AA30">
        <v>2400</v>
      </c>
      <c r="AB30">
        <v>2400</v>
      </c>
      <c r="AC30">
        <v>0</v>
      </c>
      <c r="AD30">
        <v>0</v>
      </c>
      <c r="AE30">
        <v>21200</v>
      </c>
    </row>
    <row r="31" spans="1:31" x14ac:dyDescent="0.25">
      <c r="F31">
        <v>26</v>
      </c>
      <c r="G31">
        <v>75.75</v>
      </c>
      <c r="H31">
        <v>75.55</v>
      </c>
      <c r="I31">
        <v>75.400000000000006</v>
      </c>
      <c r="J31">
        <v>8.65</v>
      </c>
      <c r="K31">
        <v>12.96</v>
      </c>
      <c r="L31" t="s">
        <v>1</v>
      </c>
      <c r="M31" t="s">
        <v>547</v>
      </c>
      <c r="N31">
        <v>141080</v>
      </c>
      <c r="O31">
        <v>118840</v>
      </c>
      <c r="P31">
        <v>534.35</v>
      </c>
      <c r="Q31">
        <v>22240</v>
      </c>
      <c r="R31">
        <v>1733680</v>
      </c>
      <c r="S31">
        <v>23900</v>
      </c>
      <c r="T31">
        <v>361.2</v>
      </c>
      <c r="U31">
        <v>358</v>
      </c>
      <c r="V31">
        <v>361.3</v>
      </c>
      <c r="W31">
        <v>-135.80000000000001</v>
      </c>
      <c r="X31">
        <v>-27.32</v>
      </c>
      <c r="Y31" t="s">
        <v>2</v>
      </c>
      <c r="Z31" t="s">
        <v>548</v>
      </c>
      <c r="AA31">
        <v>7520</v>
      </c>
      <c r="AB31">
        <v>7520</v>
      </c>
      <c r="AC31">
        <v>0</v>
      </c>
      <c r="AD31">
        <v>0</v>
      </c>
      <c r="AE31">
        <v>17640</v>
      </c>
    </row>
    <row r="32" spans="1:31" x14ac:dyDescent="0.25">
      <c r="F32">
        <v>27</v>
      </c>
      <c r="G32">
        <v>64.75</v>
      </c>
      <c r="H32">
        <v>64.55</v>
      </c>
      <c r="I32">
        <v>64.7</v>
      </c>
      <c r="J32">
        <v>9.5</v>
      </c>
      <c r="K32">
        <v>17.21</v>
      </c>
      <c r="L32" t="s">
        <v>1</v>
      </c>
      <c r="M32" t="s">
        <v>549</v>
      </c>
      <c r="N32">
        <v>71560</v>
      </c>
      <c r="O32">
        <v>69520</v>
      </c>
      <c r="P32">
        <v>3407.84</v>
      </c>
      <c r="Q32">
        <v>2040</v>
      </c>
      <c r="R32">
        <v>871320</v>
      </c>
      <c r="S32">
        <v>23950</v>
      </c>
      <c r="T32">
        <v>401.9</v>
      </c>
      <c r="U32">
        <v>397</v>
      </c>
      <c r="V32">
        <v>393.6</v>
      </c>
      <c r="W32">
        <v>-138.9</v>
      </c>
      <c r="X32">
        <v>-26.08</v>
      </c>
      <c r="Y32" t="s">
        <v>2</v>
      </c>
      <c r="Z32" t="s">
        <v>550</v>
      </c>
      <c r="AA32">
        <v>160</v>
      </c>
      <c r="AB32">
        <v>160</v>
      </c>
      <c r="AC32">
        <v>0</v>
      </c>
      <c r="AD32">
        <v>0</v>
      </c>
      <c r="AE32">
        <v>2920</v>
      </c>
    </row>
    <row r="33" spans="6:31" x14ac:dyDescent="0.25">
      <c r="F33">
        <v>28</v>
      </c>
      <c r="G33">
        <v>55.6</v>
      </c>
      <c r="H33">
        <v>55.4</v>
      </c>
      <c r="I33">
        <v>55</v>
      </c>
      <c r="J33">
        <v>7.7</v>
      </c>
      <c r="K33">
        <v>16.28</v>
      </c>
      <c r="L33" t="s">
        <v>1</v>
      </c>
      <c r="M33" t="s">
        <v>551</v>
      </c>
      <c r="N33">
        <v>359240</v>
      </c>
      <c r="O33">
        <v>186560</v>
      </c>
      <c r="P33">
        <v>108.04</v>
      </c>
      <c r="Q33">
        <v>172680</v>
      </c>
      <c r="R33">
        <v>2969520</v>
      </c>
      <c r="S33">
        <v>24000</v>
      </c>
      <c r="T33">
        <v>441.75</v>
      </c>
      <c r="U33">
        <v>438.05</v>
      </c>
      <c r="V33">
        <v>440</v>
      </c>
      <c r="W33">
        <v>-104.65</v>
      </c>
      <c r="X33">
        <v>-19.21</v>
      </c>
      <c r="Y33" t="s">
        <v>2</v>
      </c>
      <c r="Z33" t="s">
        <v>552</v>
      </c>
      <c r="AA33">
        <v>4520</v>
      </c>
      <c r="AB33">
        <v>3800</v>
      </c>
      <c r="AC33">
        <v>527.78</v>
      </c>
      <c r="AD33">
        <v>720</v>
      </c>
      <c r="AE33">
        <v>11440</v>
      </c>
    </row>
    <row r="34" spans="6:31" x14ac:dyDescent="0.25">
      <c r="F34">
        <v>29</v>
      </c>
      <c r="G34">
        <v>46.95</v>
      </c>
      <c r="H34">
        <v>46.75</v>
      </c>
      <c r="I34">
        <v>46.9</v>
      </c>
      <c r="J34">
        <v>-28</v>
      </c>
      <c r="K34">
        <v>-37.380000000000003</v>
      </c>
      <c r="L34" t="s">
        <v>1</v>
      </c>
      <c r="M34" t="s">
        <v>553</v>
      </c>
      <c r="N34">
        <v>92000</v>
      </c>
      <c r="O34">
        <v>91360</v>
      </c>
      <c r="P34">
        <v>14275</v>
      </c>
      <c r="Q34">
        <v>640</v>
      </c>
      <c r="R34">
        <v>718400</v>
      </c>
      <c r="S34">
        <v>24050</v>
      </c>
      <c r="T34">
        <v>490.15</v>
      </c>
      <c r="U34">
        <v>476.6</v>
      </c>
      <c r="V34">
        <v>455.75</v>
      </c>
      <c r="W34">
        <v>-151.15</v>
      </c>
      <c r="X34">
        <v>-24.91</v>
      </c>
      <c r="Y34" t="s">
        <v>2</v>
      </c>
      <c r="Z34" t="s">
        <v>554</v>
      </c>
      <c r="AA34">
        <v>40</v>
      </c>
      <c r="AB34">
        <v>40</v>
      </c>
      <c r="AC34">
        <v>0</v>
      </c>
      <c r="AD34">
        <v>0</v>
      </c>
      <c r="AE34">
        <v>1640</v>
      </c>
    </row>
    <row r="35" spans="6:31" x14ac:dyDescent="0.25">
      <c r="F35">
        <v>30</v>
      </c>
      <c r="G35">
        <v>39.9</v>
      </c>
      <c r="H35">
        <v>39.65</v>
      </c>
      <c r="I35">
        <v>39.4</v>
      </c>
      <c r="J35">
        <v>5.05</v>
      </c>
      <c r="K35">
        <v>14.7</v>
      </c>
      <c r="L35" t="s">
        <v>1</v>
      </c>
      <c r="M35" t="s">
        <v>555</v>
      </c>
      <c r="N35">
        <v>156400</v>
      </c>
      <c r="O35">
        <v>34840</v>
      </c>
      <c r="P35">
        <v>28.66</v>
      </c>
      <c r="Q35">
        <v>121560</v>
      </c>
      <c r="R35">
        <v>1619560</v>
      </c>
      <c r="S35">
        <v>24100</v>
      </c>
      <c r="T35">
        <v>527</v>
      </c>
      <c r="U35">
        <v>522</v>
      </c>
      <c r="V35">
        <v>550.1</v>
      </c>
      <c r="W35">
        <v>-95.6</v>
      </c>
      <c r="X35">
        <v>-14.81</v>
      </c>
      <c r="Y35" t="s">
        <v>2</v>
      </c>
      <c r="Z35" t="s">
        <v>556</v>
      </c>
      <c r="AA35">
        <v>40</v>
      </c>
      <c r="AB35">
        <v>40</v>
      </c>
      <c r="AC35">
        <v>0</v>
      </c>
      <c r="AD35">
        <v>0</v>
      </c>
      <c r="AE35">
        <v>80</v>
      </c>
    </row>
    <row r="36" spans="6:31" x14ac:dyDescent="0.25">
      <c r="F36">
        <v>31</v>
      </c>
      <c r="G36">
        <v>34.35</v>
      </c>
      <c r="H36">
        <v>34</v>
      </c>
      <c r="I36">
        <v>33.85</v>
      </c>
      <c r="J36">
        <v>4.5</v>
      </c>
      <c r="K36">
        <v>15.33</v>
      </c>
      <c r="L36" t="s">
        <v>1</v>
      </c>
      <c r="M36" t="s">
        <v>557</v>
      </c>
      <c r="N36">
        <v>42960</v>
      </c>
      <c r="O36">
        <v>39840</v>
      </c>
      <c r="P36">
        <v>1276.92</v>
      </c>
      <c r="Q36">
        <v>3120</v>
      </c>
      <c r="R36">
        <v>463480</v>
      </c>
      <c r="S36">
        <v>24150</v>
      </c>
      <c r="T36">
        <v>596.35</v>
      </c>
      <c r="U36">
        <v>548.75</v>
      </c>
      <c r="V36">
        <v>685.45</v>
      </c>
      <c r="W36">
        <v>0</v>
      </c>
      <c r="X36">
        <v>0</v>
      </c>
      <c r="Y36" t="s">
        <v>2</v>
      </c>
      <c r="Z36" t="s">
        <v>558</v>
      </c>
      <c r="AA36">
        <v>0</v>
      </c>
      <c r="AB36">
        <v>0</v>
      </c>
      <c r="AC36">
        <v>0</v>
      </c>
      <c r="AD36">
        <v>0</v>
      </c>
      <c r="AE36">
        <v>0</v>
      </c>
    </row>
    <row r="37" spans="6:31" x14ac:dyDescent="0.25">
      <c r="F37">
        <v>32</v>
      </c>
      <c r="G37">
        <v>29.2</v>
      </c>
      <c r="H37">
        <v>29</v>
      </c>
      <c r="I37">
        <v>28.9</v>
      </c>
      <c r="J37">
        <v>2.15</v>
      </c>
      <c r="K37">
        <v>8.0399999999999991</v>
      </c>
      <c r="L37" t="s">
        <v>1</v>
      </c>
      <c r="M37" t="s">
        <v>559</v>
      </c>
      <c r="N37">
        <v>221400</v>
      </c>
      <c r="O37">
        <v>126000</v>
      </c>
      <c r="P37">
        <v>132.08000000000001</v>
      </c>
      <c r="Q37">
        <v>95400</v>
      </c>
      <c r="R37">
        <v>1311040</v>
      </c>
      <c r="S37">
        <v>24200</v>
      </c>
      <c r="T37">
        <v>635.79999999999995</v>
      </c>
      <c r="U37">
        <v>606.75</v>
      </c>
      <c r="V37">
        <v>650</v>
      </c>
      <c r="W37">
        <v>-76.150000000000006</v>
      </c>
      <c r="X37">
        <v>-10.49</v>
      </c>
      <c r="Y37" t="s">
        <v>2</v>
      </c>
      <c r="Z37" t="s">
        <v>560</v>
      </c>
      <c r="AA37">
        <v>40</v>
      </c>
      <c r="AB37">
        <v>40</v>
      </c>
      <c r="AC37">
        <v>0</v>
      </c>
      <c r="AD37">
        <v>0</v>
      </c>
      <c r="AE37">
        <v>80</v>
      </c>
    </row>
    <row r="38" spans="6:31" x14ac:dyDescent="0.25">
      <c r="F38">
        <v>33</v>
      </c>
      <c r="G38">
        <v>25.3</v>
      </c>
      <c r="H38">
        <v>25</v>
      </c>
      <c r="I38">
        <v>25.15</v>
      </c>
      <c r="J38">
        <v>2</v>
      </c>
      <c r="K38">
        <v>8.64</v>
      </c>
      <c r="L38" t="s">
        <v>1</v>
      </c>
      <c r="M38" t="s">
        <v>561</v>
      </c>
      <c r="N38">
        <v>93240</v>
      </c>
      <c r="O38">
        <v>65800</v>
      </c>
      <c r="P38">
        <v>239.8</v>
      </c>
      <c r="Q38">
        <v>27440</v>
      </c>
      <c r="R38">
        <v>519120</v>
      </c>
      <c r="S38">
        <v>24250</v>
      </c>
      <c r="T38">
        <v>676.85</v>
      </c>
      <c r="U38">
        <v>636.95000000000005</v>
      </c>
      <c r="V38">
        <v>767.75</v>
      </c>
      <c r="W38">
        <v>0</v>
      </c>
      <c r="X38">
        <v>0</v>
      </c>
      <c r="Y38" t="s">
        <v>2</v>
      </c>
      <c r="Z38" t="s">
        <v>562</v>
      </c>
      <c r="AA38">
        <v>0</v>
      </c>
      <c r="AB38">
        <v>0</v>
      </c>
      <c r="AC38">
        <v>0</v>
      </c>
      <c r="AD38">
        <v>0</v>
      </c>
      <c r="AE38">
        <v>0</v>
      </c>
    </row>
    <row r="39" spans="6:31" x14ac:dyDescent="0.25">
      <c r="F39">
        <v>34</v>
      </c>
      <c r="G39">
        <v>21.9</v>
      </c>
      <c r="H39">
        <v>21.75</v>
      </c>
      <c r="I39">
        <v>21.7</v>
      </c>
      <c r="J39">
        <v>1.4</v>
      </c>
      <c r="K39">
        <v>6.9</v>
      </c>
      <c r="L39" t="s">
        <v>1</v>
      </c>
      <c r="M39" t="s">
        <v>563</v>
      </c>
      <c r="N39">
        <v>304920</v>
      </c>
      <c r="O39">
        <v>198520</v>
      </c>
      <c r="P39">
        <v>186.58</v>
      </c>
      <c r="Q39">
        <v>106400</v>
      </c>
      <c r="R39">
        <v>2058680</v>
      </c>
      <c r="S39">
        <v>24300</v>
      </c>
      <c r="T39">
        <v>723.15</v>
      </c>
      <c r="U39">
        <v>689.9</v>
      </c>
      <c r="V39">
        <v>810.2</v>
      </c>
      <c r="W39">
        <v>0</v>
      </c>
      <c r="X39">
        <v>0</v>
      </c>
      <c r="Y39" t="s">
        <v>2</v>
      </c>
      <c r="Z39" t="s">
        <v>564</v>
      </c>
      <c r="AA39">
        <v>0</v>
      </c>
      <c r="AB39">
        <v>0</v>
      </c>
      <c r="AC39">
        <v>0</v>
      </c>
      <c r="AD39">
        <v>0</v>
      </c>
      <c r="AE39">
        <v>0</v>
      </c>
    </row>
    <row r="40" spans="6:31" x14ac:dyDescent="0.25">
      <c r="F40">
        <v>35</v>
      </c>
      <c r="G40">
        <v>19</v>
      </c>
      <c r="H40">
        <v>18.899999999999999</v>
      </c>
      <c r="I40">
        <v>18.899999999999999</v>
      </c>
      <c r="J40">
        <v>-27.6</v>
      </c>
      <c r="K40">
        <v>-59.35</v>
      </c>
      <c r="L40" t="s">
        <v>1</v>
      </c>
      <c r="M40" t="s">
        <v>565</v>
      </c>
      <c r="N40">
        <v>47840</v>
      </c>
      <c r="O40">
        <v>47840</v>
      </c>
      <c r="P40">
        <v>0</v>
      </c>
      <c r="Q40">
        <v>0</v>
      </c>
      <c r="R40">
        <v>402920</v>
      </c>
      <c r="S40">
        <v>24350</v>
      </c>
      <c r="T40">
        <v>771</v>
      </c>
      <c r="U40">
        <v>743.45</v>
      </c>
      <c r="V40">
        <v>787.25</v>
      </c>
      <c r="W40">
        <v>-65.400000000000006</v>
      </c>
      <c r="X40">
        <v>-7.67</v>
      </c>
      <c r="Y40" t="s">
        <v>2</v>
      </c>
      <c r="Z40" t="s">
        <v>566</v>
      </c>
      <c r="AA40">
        <v>40</v>
      </c>
      <c r="AB40">
        <v>40</v>
      </c>
      <c r="AC40">
        <v>0</v>
      </c>
      <c r="AD40">
        <v>0</v>
      </c>
      <c r="AE40">
        <v>80</v>
      </c>
    </row>
    <row r="41" spans="6:31" x14ac:dyDescent="0.25">
      <c r="F41">
        <v>36</v>
      </c>
      <c r="G41">
        <v>16.5</v>
      </c>
      <c r="H41">
        <v>16.399999999999999</v>
      </c>
      <c r="I41">
        <v>16.45</v>
      </c>
      <c r="J41">
        <v>-0.3</v>
      </c>
      <c r="K41">
        <v>-1.79</v>
      </c>
      <c r="L41" t="s">
        <v>1</v>
      </c>
      <c r="M41" t="s">
        <v>567</v>
      </c>
      <c r="N41">
        <v>195960</v>
      </c>
      <c r="O41">
        <v>106600</v>
      </c>
      <c r="P41">
        <v>119.29</v>
      </c>
      <c r="Q41">
        <v>89360</v>
      </c>
      <c r="R41">
        <v>1735440</v>
      </c>
      <c r="S41">
        <v>24400</v>
      </c>
      <c r="T41">
        <v>817.5</v>
      </c>
      <c r="U41">
        <v>781.6</v>
      </c>
      <c r="V41">
        <v>799.15</v>
      </c>
      <c r="W41">
        <v>-98.15</v>
      </c>
      <c r="X41">
        <v>-10.94</v>
      </c>
      <c r="Y41" t="s">
        <v>2</v>
      </c>
      <c r="Z41" t="s">
        <v>568</v>
      </c>
      <c r="AA41">
        <v>0</v>
      </c>
      <c r="AB41">
        <v>0</v>
      </c>
      <c r="AC41">
        <v>0</v>
      </c>
      <c r="AD41">
        <v>0</v>
      </c>
      <c r="AE41">
        <v>400</v>
      </c>
    </row>
    <row r="42" spans="6:31" x14ac:dyDescent="0.25">
      <c r="F42">
        <v>37</v>
      </c>
      <c r="G42">
        <v>14.5</v>
      </c>
      <c r="H42">
        <v>14.4</v>
      </c>
      <c r="I42">
        <v>14.3</v>
      </c>
      <c r="J42">
        <v>-20.9</v>
      </c>
      <c r="K42">
        <v>-59.38</v>
      </c>
      <c r="L42" t="s">
        <v>1</v>
      </c>
      <c r="M42" t="s">
        <v>569</v>
      </c>
      <c r="N42">
        <v>64080</v>
      </c>
      <c r="O42">
        <v>64080</v>
      </c>
      <c r="P42">
        <v>0</v>
      </c>
      <c r="Q42">
        <v>0</v>
      </c>
      <c r="R42">
        <v>362720</v>
      </c>
      <c r="S42">
        <v>24450</v>
      </c>
      <c r="T42">
        <v>882.5</v>
      </c>
      <c r="U42">
        <v>814.35</v>
      </c>
      <c r="V42">
        <v>941.25</v>
      </c>
      <c r="W42">
        <v>0</v>
      </c>
      <c r="X42">
        <v>0</v>
      </c>
      <c r="Y42" t="s">
        <v>2</v>
      </c>
      <c r="Z42" t="s">
        <v>570</v>
      </c>
      <c r="AA42">
        <v>0</v>
      </c>
      <c r="AB42">
        <v>0</v>
      </c>
      <c r="AC42">
        <v>0</v>
      </c>
      <c r="AD42">
        <v>0</v>
      </c>
      <c r="AE42">
        <v>0</v>
      </c>
    </row>
    <row r="43" spans="6:31" x14ac:dyDescent="0.25">
      <c r="F43">
        <v>38</v>
      </c>
      <c r="G43">
        <v>12.9</v>
      </c>
      <c r="H43">
        <v>12.75</v>
      </c>
      <c r="I43">
        <v>12.8</v>
      </c>
      <c r="J43">
        <v>0.55000000000000004</v>
      </c>
      <c r="K43">
        <v>4.49</v>
      </c>
      <c r="L43" t="s">
        <v>1</v>
      </c>
      <c r="M43" t="s">
        <v>571</v>
      </c>
      <c r="N43">
        <v>413800</v>
      </c>
      <c r="O43">
        <v>273680</v>
      </c>
      <c r="P43">
        <v>195.32</v>
      </c>
      <c r="Q43">
        <v>140120</v>
      </c>
      <c r="R43">
        <v>3054200</v>
      </c>
      <c r="S43">
        <v>24500</v>
      </c>
      <c r="T43">
        <v>937.2</v>
      </c>
      <c r="U43">
        <v>861.7</v>
      </c>
      <c r="V43">
        <v>1265.5999999999999</v>
      </c>
      <c r="W43">
        <v>278.60000000000002</v>
      </c>
      <c r="X43">
        <v>28.23</v>
      </c>
      <c r="Y43" t="s">
        <v>2</v>
      </c>
      <c r="Z43" t="s">
        <v>572</v>
      </c>
      <c r="AA43">
        <v>0</v>
      </c>
      <c r="AB43">
        <v>0</v>
      </c>
      <c r="AC43">
        <v>0</v>
      </c>
      <c r="AD43">
        <v>120</v>
      </c>
      <c r="AE43">
        <v>0</v>
      </c>
    </row>
    <row r="44" spans="6:31" x14ac:dyDescent="0.25">
      <c r="F44">
        <v>39</v>
      </c>
      <c r="G44">
        <v>11.45</v>
      </c>
      <c r="H44">
        <v>11.3</v>
      </c>
      <c r="I44">
        <v>11.55</v>
      </c>
      <c r="J44">
        <v>-14.75</v>
      </c>
      <c r="K44">
        <v>-56.08</v>
      </c>
      <c r="L44" t="s">
        <v>1</v>
      </c>
      <c r="M44" t="s">
        <v>573</v>
      </c>
      <c r="N44">
        <v>10320</v>
      </c>
      <c r="O44">
        <v>10320</v>
      </c>
      <c r="P44">
        <v>0</v>
      </c>
      <c r="Q44">
        <v>0</v>
      </c>
      <c r="R44">
        <v>81200</v>
      </c>
      <c r="S44">
        <v>24550</v>
      </c>
      <c r="T44">
        <v>974.1</v>
      </c>
      <c r="U44">
        <v>917.25</v>
      </c>
      <c r="V44">
        <v>1032.2</v>
      </c>
      <c r="W44">
        <v>0</v>
      </c>
      <c r="X44">
        <v>0</v>
      </c>
      <c r="Y44" t="s">
        <v>2</v>
      </c>
      <c r="Z44" t="s">
        <v>574</v>
      </c>
      <c r="AA44">
        <v>0</v>
      </c>
      <c r="AB44">
        <v>0</v>
      </c>
      <c r="AC44">
        <v>0</v>
      </c>
      <c r="AD44">
        <v>0</v>
      </c>
      <c r="AE44">
        <v>0</v>
      </c>
    </row>
    <row r="45" spans="6:31" x14ac:dyDescent="0.25">
      <c r="F45">
        <v>40</v>
      </c>
      <c r="G45">
        <v>10.35</v>
      </c>
      <c r="H45">
        <v>10.25</v>
      </c>
      <c r="I45">
        <v>10.25</v>
      </c>
      <c r="J45">
        <v>0.05</v>
      </c>
      <c r="K45">
        <v>0.49</v>
      </c>
      <c r="L45" t="s">
        <v>1</v>
      </c>
      <c r="M45" t="s">
        <v>575</v>
      </c>
      <c r="N45">
        <v>288040</v>
      </c>
      <c r="O45">
        <v>242200</v>
      </c>
      <c r="P45">
        <v>528.36</v>
      </c>
      <c r="Q45">
        <v>45840</v>
      </c>
      <c r="R45">
        <v>1669320</v>
      </c>
      <c r="S45">
        <v>24600</v>
      </c>
      <c r="T45">
        <v>1034.0999999999999</v>
      </c>
      <c r="U45">
        <v>950.95</v>
      </c>
      <c r="V45">
        <v>1078.9000000000001</v>
      </c>
      <c r="W45">
        <v>0</v>
      </c>
      <c r="X45">
        <v>0</v>
      </c>
      <c r="Y45" t="s">
        <v>2</v>
      </c>
      <c r="Z45" t="s">
        <v>576</v>
      </c>
      <c r="AA45">
        <v>0</v>
      </c>
      <c r="AB45">
        <v>0</v>
      </c>
      <c r="AC45">
        <v>0</v>
      </c>
      <c r="AD45">
        <v>0</v>
      </c>
      <c r="AE45">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C6A62-BDFF-48CF-93F5-8CEC9E988CAF}">
  <sheetPr codeName="Sheet8"/>
  <dimension ref="A1:AE45"/>
  <sheetViews>
    <sheetView workbookViewId="0">
      <selection activeCell="F13" sqref="F13"/>
    </sheetView>
  </sheetViews>
  <sheetFormatPr defaultRowHeight="15" x14ac:dyDescent="0.25"/>
  <cols>
    <col min="1" max="1" width="28.85546875" bestFit="1" customWidth="1"/>
    <col min="2" max="2" width="15.5703125" bestFit="1" customWidth="1"/>
    <col min="18" max="18" width="10.85546875" bestFit="1" customWidth="1"/>
  </cols>
  <sheetData>
    <row r="1" spans="1:31" x14ac:dyDescent="0.25">
      <c r="A1" t="s">
        <v>0</v>
      </c>
      <c r="B1" t="s">
        <v>1</v>
      </c>
      <c r="C1" t="s">
        <v>2</v>
      </c>
      <c r="N1" t="s">
        <v>148</v>
      </c>
      <c r="O1" t="s">
        <v>149</v>
      </c>
      <c r="P1" t="s">
        <v>150</v>
      </c>
    </row>
    <row r="2" spans="1:31" x14ac:dyDescent="0.25">
      <c r="A2" t="s">
        <v>3</v>
      </c>
      <c r="B2" t="s">
        <v>76</v>
      </c>
      <c r="N2">
        <v>23850.9</v>
      </c>
      <c r="O2">
        <v>14.24</v>
      </c>
      <c r="P2">
        <v>1.3179941763230483</v>
      </c>
    </row>
    <row r="3" spans="1:31" x14ac:dyDescent="0.25">
      <c r="A3" t="s">
        <v>5</v>
      </c>
      <c r="B3" s="1">
        <v>45427</v>
      </c>
    </row>
    <row r="4" spans="1:31" x14ac:dyDescent="0.25">
      <c r="A4" t="s">
        <v>6</v>
      </c>
      <c r="B4" s="2">
        <f ca="1">NOW()</f>
        <v>45469.571693981481</v>
      </c>
      <c r="G4" t="s">
        <v>151</v>
      </c>
      <c r="H4" t="s">
        <v>152</v>
      </c>
      <c r="I4" t="s">
        <v>153</v>
      </c>
      <c r="J4" t="s">
        <v>154</v>
      </c>
      <c r="K4" t="s">
        <v>155</v>
      </c>
      <c r="L4" t="s">
        <v>156</v>
      </c>
      <c r="M4" t="s">
        <v>157</v>
      </c>
      <c r="N4" t="s">
        <v>158</v>
      </c>
      <c r="O4" t="s">
        <v>159</v>
      </c>
      <c r="P4" t="s">
        <v>160</v>
      </c>
      <c r="Q4" t="s">
        <v>161</v>
      </c>
      <c r="R4" t="s">
        <v>162</v>
      </c>
      <c r="S4" s="3" t="s">
        <v>53</v>
      </c>
      <c r="T4" t="s">
        <v>163</v>
      </c>
      <c r="U4" t="s">
        <v>164</v>
      </c>
      <c r="V4" t="s">
        <v>165</v>
      </c>
      <c r="W4" t="s">
        <v>166</v>
      </c>
      <c r="X4" t="s">
        <v>167</v>
      </c>
      <c r="Y4" t="s">
        <v>168</v>
      </c>
      <c r="Z4" t="s">
        <v>169</v>
      </c>
      <c r="AA4" t="s">
        <v>170</v>
      </c>
      <c r="AB4" t="s">
        <v>171</v>
      </c>
      <c r="AC4" t="s">
        <v>172</v>
      </c>
      <c r="AD4" t="s">
        <v>173</v>
      </c>
      <c r="AE4" t="s">
        <v>174</v>
      </c>
    </row>
    <row r="5" spans="1:31" x14ac:dyDescent="0.25">
      <c r="A5" t="s">
        <v>7</v>
      </c>
      <c r="B5">
        <v>47754.1</v>
      </c>
      <c r="C5">
        <v>48075</v>
      </c>
      <c r="F5">
        <v>0</v>
      </c>
      <c r="G5">
        <v>1026.2</v>
      </c>
      <c r="H5">
        <v>1007.1</v>
      </c>
      <c r="I5">
        <v>996.3</v>
      </c>
      <c r="J5">
        <v>113.4</v>
      </c>
      <c r="K5">
        <v>12.84</v>
      </c>
      <c r="L5" t="s">
        <v>1</v>
      </c>
      <c r="M5" t="s">
        <v>263</v>
      </c>
      <c r="N5">
        <v>29925</v>
      </c>
      <c r="O5">
        <v>-950</v>
      </c>
      <c r="P5">
        <v>-3.08</v>
      </c>
      <c r="Q5">
        <v>30875</v>
      </c>
      <c r="R5">
        <v>3300</v>
      </c>
      <c r="S5" s="3">
        <v>22850</v>
      </c>
      <c r="T5">
        <v>1.8</v>
      </c>
      <c r="U5">
        <v>1.7</v>
      </c>
      <c r="V5">
        <v>1.8</v>
      </c>
      <c r="W5">
        <v>-3.3</v>
      </c>
      <c r="X5">
        <v>-64.709999999999994</v>
      </c>
      <c r="Y5" t="s">
        <v>2</v>
      </c>
      <c r="Z5" t="s">
        <v>264</v>
      </c>
      <c r="AA5">
        <v>1019650</v>
      </c>
      <c r="AB5">
        <v>-57870</v>
      </c>
      <c r="AC5">
        <v>-5.37</v>
      </c>
      <c r="AD5">
        <v>1077520</v>
      </c>
      <c r="AE5">
        <v>4862375</v>
      </c>
    </row>
    <row r="6" spans="1:31" x14ac:dyDescent="0.25">
      <c r="A6" t="s">
        <v>8</v>
      </c>
      <c r="B6">
        <v>47389.8</v>
      </c>
      <c r="C6">
        <v>47600</v>
      </c>
      <c r="F6">
        <v>1</v>
      </c>
      <c r="G6">
        <v>966.85</v>
      </c>
      <c r="H6">
        <v>963.7</v>
      </c>
      <c r="I6">
        <v>956.4</v>
      </c>
      <c r="J6">
        <v>113.1</v>
      </c>
      <c r="K6">
        <v>13.41</v>
      </c>
      <c r="L6" t="s">
        <v>1</v>
      </c>
      <c r="M6" t="s">
        <v>265</v>
      </c>
      <c r="N6">
        <v>284075</v>
      </c>
      <c r="O6">
        <v>-10900</v>
      </c>
      <c r="P6">
        <v>-3.7</v>
      </c>
      <c r="Q6">
        <v>294975</v>
      </c>
      <c r="R6">
        <v>24250</v>
      </c>
      <c r="S6" s="3">
        <v>22900</v>
      </c>
      <c r="T6">
        <v>1.9</v>
      </c>
      <c r="U6">
        <v>1.85</v>
      </c>
      <c r="V6">
        <v>1.9</v>
      </c>
      <c r="W6">
        <v>-3.75</v>
      </c>
      <c r="X6">
        <v>-66.37</v>
      </c>
      <c r="Y6" t="s">
        <v>2</v>
      </c>
      <c r="Z6" t="s">
        <v>266</v>
      </c>
      <c r="AA6">
        <v>2935050</v>
      </c>
      <c r="AB6">
        <v>-363000</v>
      </c>
      <c r="AC6">
        <v>-11.01</v>
      </c>
      <c r="AD6">
        <v>3298050</v>
      </c>
      <c r="AE6">
        <v>15928225</v>
      </c>
    </row>
    <row r="7" spans="1:31" x14ac:dyDescent="0.25">
      <c r="A7" t="s">
        <v>9</v>
      </c>
      <c r="B7">
        <v>47841.599999999999</v>
      </c>
      <c r="C7">
        <v>48075</v>
      </c>
      <c r="F7">
        <v>2</v>
      </c>
      <c r="G7">
        <v>916.7</v>
      </c>
      <c r="H7">
        <v>911.7</v>
      </c>
      <c r="I7">
        <v>911.3</v>
      </c>
      <c r="J7">
        <v>124.15</v>
      </c>
      <c r="K7">
        <v>15.77</v>
      </c>
      <c r="L7" t="s">
        <v>1</v>
      </c>
      <c r="M7" t="s">
        <v>267</v>
      </c>
      <c r="N7">
        <v>21750</v>
      </c>
      <c r="O7">
        <v>-450</v>
      </c>
      <c r="P7">
        <v>-2.0299999999999998</v>
      </c>
      <c r="Q7">
        <v>22200</v>
      </c>
      <c r="R7">
        <v>2500</v>
      </c>
      <c r="S7" s="3">
        <v>22950</v>
      </c>
      <c r="T7">
        <v>2.15</v>
      </c>
      <c r="U7">
        <v>2.1</v>
      </c>
      <c r="V7">
        <v>2.1</v>
      </c>
      <c r="W7">
        <v>-4.0999999999999996</v>
      </c>
      <c r="X7">
        <v>-66.13</v>
      </c>
      <c r="Y7" t="s">
        <v>2</v>
      </c>
      <c r="Z7" t="s">
        <v>268</v>
      </c>
      <c r="AA7">
        <v>1094825</v>
      </c>
      <c r="AB7">
        <v>-769855</v>
      </c>
      <c r="AC7">
        <v>-41.29</v>
      </c>
      <c r="AD7">
        <v>1864680</v>
      </c>
      <c r="AE7">
        <v>7433800</v>
      </c>
    </row>
    <row r="8" spans="1:31" x14ac:dyDescent="0.25">
      <c r="A8" t="s">
        <v>10</v>
      </c>
      <c r="B8">
        <v>46983.25</v>
      </c>
      <c r="C8">
        <v>47200</v>
      </c>
      <c r="F8">
        <v>3</v>
      </c>
      <c r="G8">
        <v>866.25</v>
      </c>
      <c r="H8">
        <v>863.9</v>
      </c>
      <c r="I8">
        <v>865</v>
      </c>
      <c r="J8">
        <v>126.8</v>
      </c>
      <c r="K8">
        <v>17.18</v>
      </c>
      <c r="L8" t="s">
        <v>1</v>
      </c>
      <c r="M8" t="s">
        <v>269</v>
      </c>
      <c r="N8">
        <v>2184800</v>
      </c>
      <c r="O8">
        <v>-462700</v>
      </c>
      <c r="P8">
        <v>-17.48</v>
      </c>
      <c r="Q8">
        <v>2647500</v>
      </c>
      <c r="R8">
        <v>982750</v>
      </c>
      <c r="S8" s="3">
        <v>23000</v>
      </c>
      <c r="T8">
        <v>2.4500000000000002</v>
      </c>
      <c r="U8">
        <v>2.4</v>
      </c>
      <c r="V8">
        <v>2.4</v>
      </c>
      <c r="W8">
        <v>-4.8</v>
      </c>
      <c r="X8">
        <v>-66.67</v>
      </c>
      <c r="Y8" t="s">
        <v>2</v>
      </c>
      <c r="Z8" t="s">
        <v>270</v>
      </c>
      <c r="AA8">
        <v>11573975</v>
      </c>
      <c r="AB8">
        <v>-1450025</v>
      </c>
      <c r="AC8">
        <v>-11.13</v>
      </c>
      <c r="AD8">
        <v>13024000</v>
      </c>
      <c r="AE8">
        <v>39589750</v>
      </c>
    </row>
    <row r="9" spans="1:31" x14ac:dyDescent="0.25">
      <c r="A9" t="s">
        <v>11</v>
      </c>
      <c r="B9">
        <v>47421.1</v>
      </c>
      <c r="C9">
        <v>47607.25</v>
      </c>
      <c r="F9">
        <v>4</v>
      </c>
      <c r="G9">
        <v>818.05</v>
      </c>
      <c r="H9">
        <v>814.4</v>
      </c>
      <c r="I9">
        <v>801.55</v>
      </c>
      <c r="J9">
        <v>109.85</v>
      </c>
      <c r="K9">
        <v>15.88</v>
      </c>
      <c r="L9" t="s">
        <v>1</v>
      </c>
      <c r="M9" t="s">
        <v>175</v>
      </c>
      <c r="N9">
        <v>25875</v>
      </c>
      <c r="O9">
        <v>-1500</v>
      </c>
      <c r="P9">
        <v>-5.48</v>
      </c>
      <c r="Q9">
        <v>27375</v>
      </c>
      <c r="R9">
        <v>6450</v>
      </c>
      <c r="S9" s="3">
        <v>23050</v>
      </c>
      <c r="T9">
        <v>2.5</v>
      </c>
      <c r="U9">
        <v>2.4500000000000002</v>
      </c>
      <c r="V9">
        <v>2.5</v>
      </c>
      <c r="W9">
        <v>-5.45</v>
      </c>
      <c r="X9">
        <v>-68.55</v>
      </c>
      <c r="Y9" t="s">
        <v>2</v>
      </c>
      <c r="Z9" t="s">
        <v>176</v>
      </c>
      <c r="AA9">
        <v>1261775</v>
      </c>
      <c r="AB9">
        <v>400975</v>
      </c>
      <c r="AC9">
        <v>46.58</v>
      </c>
      <c r="AD9">
        <v>860800</v>
      </c>
      <c r="AE9">
        <v>9382700</v>
      </c>
    </row>
    <row r="10" spans="1:31" x14ac:dyDescent="0.25">
      <c r="A10" t="s">
        <v>12</v>
      </c>
      <c r="B10">
        <v>156036</v>
      </c>
      <c r="F10">
        <v>5</v>
      </c>
      <c r="G10">
        <v>766.5</v>
      </c>
      <c r="H10">
        <v>763.95</v>
      </c>
      <c r="I10">
        <v>764</v>
      </c>
      <c r="J10">
        <v>126.05</v>
      </c>
      <c r="K10">
        <v>19.760000000000002</v>
      </c>
      <c r="L10" t="s">
        <v>1</v>
      </c>
      <c r="M10" t="s">
        <v>178</v>
      </c>
      <c r="N10">
        <v>277825</v>
      </c>
      <c r="O10">
        <v>-54200</v>
      </c>
      <c r="P10">
        <v>-16.32</v>
      </c>
      <c r="Q10">
        <v>332025</v>
      </c>
      <c r="R10">
        <v>134750</v>
      </c>
      <c r="S10" s="3">
        <v>23100</v>
      </c>
      <c r="T10">
        <v>2.8</v>
      </c>
      <c r="U10">
        <v>2.75</v>
      </c>
      <c r="V10">
        <v>2.75</v>
      </c>
      <c r="W10">
        <v>-6.55</v>
      </c>
      <c r="X10">
        <v>-70.430000000000007</v>
      </c>
      <c r="Y10" t="s">
        <v>2</v>
      </c>
      <c r="Z10" t="s">
        <v>177</v>
      </c>
      <c r="AA10">
        <v>4629200</v>
      </c>
      <c r="AB10">
        <v>1114800</v>
      </c>
      <c r="AC10">
        <v>31.72</v>
      </c>
      <c r="AD10">
        <v>3514400</v>
      </c>
      <c r="AE10">
        <v>29320650</v>
      </c>
    </row>
    <row r="11" spans="1:31" x14ac:dyDescent="0.25">
      <c r="A11" t="s">
        <v>13</v>
      </c>
      <c r="B11">
        <v>48000</v>
      </c>
      <c r="F11">
        <v>6</v>
      </c>
      <c r="G11">
        <v>717.1</v>
      </c>
      <c r="H11">
        <v>713.8</v>
      </c>
      <c r="I11">
        <v>715.9</v>
      </c>
      <c r="J11">
        <v>123.75</v>
      </c>
      <c r="K11">
        <v>20.9</v>
      </c>
      <c r="L11" t="s">
        <v>1</v>
      </c>
      <c r="M11" t="s">
        <v>179</v>
      </c>
      <c r="N11">
        <v>45250</v>
      </c>
      <c r="O11">
        <v>-2175</v>
      </c>
      <c r="P11">
        <v>-4.59</v>
      </c>
      <c r="Q11">
        <v>47425</v>
      </c>
      <c r="R11">
        <v>10200</v>
      </c>
      <c r="S11" s="3">
        <v>23150</v>
      </c>
      <c r="T11">
        <v>3.05</v>
      </c>
      <c r="U11">
        <v>3</v>
      </c>
      <c r="V11">
        <v>3</v>
      </c>
      <c r="W11">
        <v>-7.35</v>
      </c>
      <c r="X11">
        <v>-71.010000000000005</v>
      </c>
      <c r="Y11" t="s">
        <v>2</v>
      </c>
      <c r="Z11" t="s">
        <v>180</v>
      </c>
      <c r="AA11">
        <v>1710675</v>
      </c>
      <c r="AB11">
        <v>402525</v>
      </c>
      <c r="AC11">
        <v>30.77</v>
      </c>
      <c r="AD11">
        <v>1308150</v>
      </c>
      <c r="AE11">
        <v>11951025</v>
      </c>
    </row>
    <row r="12" spans="1:31" x14ac:dyDescent="0.25">
      <c r="A12" t="s">
        <v>14</v>
      </c>
      <c r="B12">
        <v>189.2</v>
      </c>
      <c r="C12">
        <v>337.85</v>
      </c>
      <c r="F12">
        <v>7</v>
      </c>
      <c r="G12">
        <v>666.2</v>
      </c>
      <c r="H12">
        <v>664.25</v>
      </c>
      <c r="I12">
        <v>665.8</v>
      </c>
      <c r="J12">
        <v>122</v>
      </c>
      <c r="K12">
        <v>22.43</v>
      </c>
      <c r="L12" t="s">
        <v>1</v>
      </c>
      <c r="M12" t="s">
        <v>182</v>
      </c>
      <c r="N12">
        <v>663025</v>
      </c>
      <c r="O12">
        <v>-58200</v>
      </c>
      <c r="P12">
        <v>-8.07</v>
      </c>
      <c r="Q12">
        <v>721225</v>
      </c>
      <c r="R12">
        <v>336675</v>
      </c>
      <c r="S12" s="3">
        <v>23200</v>
      </c>
      <c r="T12">
        <v>3.25</v>
      </c>
      <c r="U12">
        <v>3.2</v>
      </c>
      <c r="V12">
        <v>3.2</v>
      </c>
      <c r="W12">
        <v>-9.1</v>
      </c>
      <c r="X12">
        <v>-73.98</v>
      </c>
      <c r="Y12" t="s">
        <v>2</v>
      </c>
      <c r="Z12" t="s">
        <v>181</v>
      </c>
      <c r="AA12">
        <v>4745075</v>
      </c>
      <c r="AB12">
        <v>-977445</v>
      </c>
      <c r="AC12">
        <v>-17.079999999999998</v>
      </c>
      <c r="AD12">
        <v>5722520</v>
      </c>
      <c r="AE12">
        <v>32331050</v>
      </c>
    </row>
    <row r="13" spans="1:31" x14ac:dyDescent="0.25">
      <c r="A13" t="s">
        <v>15</v>
      </c>
      <c r="B13">
        <v>48100</v>
      </c>
      <c r="F13">
        <v>8</v>
      </c>
      <c r="G13">
        <v>618</v>
      </c>
      <c r="H13">
        <v>616</v>
      </c>
      <c r="I13">
        <v>603.04999999999995</v>
      </c>
      <c r="J13">
        <v>108.6</v>
      </c>
      <c r="K13">
        <v>21.96</v>
      </c>
      <c r="L13" t="s">
        <v>1</v>
      </c>
      <c r="M13" t="s">
        <v>184</v>
      </c>
      <c r="N13">
        <v>131475</v>
      </c>
      <c r="O13">
        <v>-8375</v>
      </c>
      <c r="P13">
        <v>-5.99</v>
      </c>
      <c r="Q13">
        <v>139850</v>
      </c>
      <c r="R13">
        <v>49225</v>
      </c>
      <c r="S13" s="3">
        <v>23250</v>
      </c>
      <c r="T13">
        <v>3.55</v>
      </c>
      <c r="U13">
        <v>3.5</v>
      </c>
      <c r="V13">
        <v>3.55</v>
      </c>
      <c r="W13">
        <v>-10.5</v>
      </c>
      <c r="X13">
        <v>-74.73</v>
      </c>
      <c r="Y13" t="s">
        <v>2</v>
      </c>
      <c r="Z13" t="s">
        <v>183</v>
      </c>
      <c r="AA13">
        <v>2599050</v>
      </c>
      <c r="AB13">
        <v>-33070</v>
      </c>
      <c r="AC13">
        <v>-1.26</v>
      </c>
      <c r="AD13">
        <v>2632120</v>
      </c>
      <c r="AE13">
        <v>19356650</v>
      </c>
    </row>
    <row r="14" spans="1:31" x14ac:dyDescent="0.25">
      <c r="A14" t="s">
        <v>16</v>
      </c>
      <c r="B14">
        <v>153.69999999999999</v>
      </c>
      <c r="C14">
        <v>399</v>
      </c>
      <c r="F14">
        <v>9</v>
      </c>
      <c r="G14">
        <v>567.15</v>
      </c>
      <c r="H14">
        <v>565.75</v>
      </c>
      <c r="I14">
        <v>566.25</v>
      </c>
      <c r="J14">
        <v>119.05</v>
      </c>
      <c r="K14">
        <v>26.62</v>
      </c>
      <c r="L14" t="s">
        <v>1</v>
      </c>
      <c r="M14" t="s">
        <v>186</v>
      </c>
      <c r="N14">
        <v>879975</v>
      </c>
      <c r="O14">
        <v>-78900</v>
      </c>
      <c r="P14">
        <v>-8.23</v>
      </c>
      <c r="Q14">
        <v>958875</v>
      </c>
      <c r="R14">
        <v>512300</v>
      </c>
      <c r="S14" s="3">
        <v>23300</v>
      </c>
      <c r="T14">
        <v>4.1500000000000004</v>
      </c>
      <c r="U14">
        <v>4.0999999999999996</v>
      </c>
      <c r="V14">
        <v>4.1500000000000004</v>
      </c>
      <c r="W14">
        <v>-12.85</v>
      </c>
      <c r="X14">
        <v>-75.59</v>
      </c>
      <c r="Y14" t="s">
        <v>2</v>
      </c>
      <c r="Z14" t="s">
        <v>185</v>
      </c>
      <c r="AA14">
        <v>6552950</v>
      </c>
      <c r="AB14">
        <v>1419150</v>
      </c>
      <c r="AC14">
        <v>27.64</v>
      </c>
      <c r="AD14">
        <v>5133800</v>
      </c>
      <c r="AE14">
        <v>34061450</v>
      </c>
    </row>
    <row r="15" spans="1:31" x14ac:dyDescent="0.25">
      <c r="A15" t="s">
        <v>17</v>
      </c>
      <c r="B15">
        <v>2846914</v>
      </c>
      <c r="C15">
        <v>2584448</v>
      </c>
      <c r="F15">
        <v>10</v>
      </c>
      <c r="G15">
        <v>518.95000000000005</v>
      </c>
      <c r="H15">
        <v>517.5</v>
      </c>
      <c r="I15">
        <v>516.75</v>
      </c>
      <c r="J15">
        <v>113.6</v>
      </c>
      <c r="K15">
        <v>28.18</v>
      </c>
      <c r="L15" t="s">
        <v>1</v>
      </c>
      <c r="M15" t="s">
        <v>187</v>
      </c>
      <c r="N15">
        <v>550125</v>
      </c>
      <c r="O15">
        <v>-1700</v>
      </c>
      <c r="P15">
        <v>-0.31</v>
      </c>
      <c r="Q15">
        <v>551825</v>
      </c>
      <c r="R15">
        <v>272825</v>
      </c>
      <c r="S15" s="3">
        <v>23350</v>
      </c>
      <c r="T15">
        <v>4.75</v>
      </c>
      <c r="U15">
        <v>4.7</v>
      </c>
      <c r="V15">
        <v>4.7</v>
      </c>
      <c r="W15">
        <v>-15.65</v>
      </c>
      <c r="X15">
        <v>-76.900000000000006</v>
      </c>
      <c r="Y15" t="s">
        <v>2</v>
      </c>
      <c r="Z15" t="s">
        <v>188</v>
      </c>
      <c r="AA15">
        <v>2881000</v>
      </c>
      <c r="AB15">
        <v>817850</v>
      </c>
      <c r="AC15">
        <v>39.64</v>
      </c>
      <c r="AD15">
        <v>2063150</v>
      </c>
      <c r="AE15">
        <v>20124425</v>
      </c>
    </row>
    <row r="16" spans="1:31" x14ac:dyDescent="0.25">
      <c r="A16" t="s">
        <v>18</v>
      </c>
      <c r="B16">
        <v>-211477</v>
      </c>
      <c r="C16">
        <v>586536</v>
      </c>
      <c r="F16">
        <v>11</v>
      </c>
      <c r="G16">
        <v>469.15</v>
      </c>
      <c r="H16">
        <v>467.95</v>
      </c>
      <c r="I16">
        <v>468.65</v>
      </c>
      <c r="J16">
        <v>112.6</v>
      </c>
      <c r="K16">
        <v>31.62</v>
      </c>
      <c r="L16" t="s">
        <v>1</v>
      </c>
      <c r="M16" t="s">
        <v>190</v>
      </c>
      <c r="N16">
        <v>2148725</v>
      </c>
      <c r="O16">
        <v>-159025</v>
      </c>
      <c r="P16">
        <v>-6.89</v>
      </c>
      <c r="Q16">
        <v>2307750</v>
      </c>
      <c r="R16">
        <v>1963275</v>
      </c>
      <c r="S16" s="3">
        <v>23400</v>
      </c>
      <c r="T16">
        <v>6</v>
      </c>
      <c r="U16">
        <v>5.95</v>
      </c>
      <c r="V16">
        <v>6</v>
      </c>
      <c r="W16">
        <v>-18.7</v>
      </c>
      <c r="X16">
        <v>-75.709999999999994</v>
      </c>
      <c r="Y16" t="s">
        <v>2</v>
      </c>
      <c r="Z16" t="s">
        <v>189</v>
      </c>
      <c r="AA16">
        <v>7275775</v>
      </c>
      <c r="AB16">
        <v>231425</v>
      </c>
      <c r="AC16">
        <v>3.29</v>
      </c>
      <c r="AD16">
        <v>7044350</v>
      </c>
      <c r="AE16">
        <v>35407725</v>
      </c>
    </row>
    <row r="17" spans="1:31" x14ac:dyDescent="0.25">
      <c r="A17" t="s">
        <v>19</v>
      </c>
      <c r="B17">
        <v>195915</v>
      </c>
      <c r="C17">
        <v>157009</v>
      </c>
      <c r="F17">
        <v>12</v>
      </c>
      <c r="G17">
        <v>421.1</v>
      </c>
      <c r="H17">
        <v>420.05</v>
      </c>
      <c r="I17">
        <v>421</v>
      </c>
      <c r="J17">
        <v>109.25</v>
      </c>
      <c r="K17">
        <v>35.04</v>
      </c>
      <c r="L17" t="s">
        <v>1</v>
      </c>
      <c r="M17" t="s">
        <v>192</v>
      </c>
      <c r="N17">
        <v>676075</v>
      </c>
      <c r="O17">
        <v>-60600</v>
      </c>
      <c r="P17">
        <v>-8.23</v>
      </c>
      <c r="Q17">
        <v>736675</v>
      </c>
      <c r="R17">
        <v>945775</v>
      </c>
      <c r="S17" s="3">
        <v>23450</v>
      </c>
      <c r="T17">
        <v>7.2</v>
      </c>
      <c r="U17">
        <v>7.15</v>
      </c>
      <c r="V17">
        <v>7.15</v>
      </c>
      <c r="W17">
        <v>-22.5</v>
      </c>
      <c r="X17">
        <v>-75.89</v>
      </c>
      <c r="Y17" t="s">
        <v>2</v>
      </c>
      <c r="Z17" t="s">
        <v>191</v>
      </c>
      <c r="AA17">
        <v>3325375</v>
      </c>
      <c r="AB17">
        <v>779975</v>
      </c>
      <c r="AC17">
        <v>30.64</v>
      </c>
      <c r="AD17">
        <v>2545400</v>
      </c>
      <c r="AE17">
        <v>21240225</v>
      </c>
    </row>
    <row r="18" spans="1:31" x14ac:dyDescent="0.25">
      <c r="A18" t="s">
        <v>20</v>
      </c>
      <c r="B18">
        <v>48000</v>
      </c>
      <c r="C18">
        <v>47000</v>
      </c>
      <c r="F18">
        <v>13</v>
      </c>
      <c r="G18">
        <v>372.35</v>
      </c>
      <c r="H18">
        <v>371.55</v>
      </c>
      <c r="I18">
        <v>372</v>
      </c>
      <c r="J18">
        <v>106.35</v>
      </c>
      <c r="K18">
        <v>40.03</v>
      </c>
      <c r="L18" t="s">
        <v>1</v>
      </c>
      <c r="M18" t="s">
        <v>194</v>
      </c>
      <c r="N18">
        <v>3554325</v>
      </c>
      <c r="O18">
        <v>-552855</v>
      </c>
      <c r="P18">
        <v>-13.46</v>
      </c>
      <c r="Q18">
        <v>4107180</v>
      </c>
      <c r="R18">
        <v>9679750</v>
      </c>
      <c r="S18" s="3">
        <v>23500</v>
      </c>
      <c r="T18">
        <v>9.25</v>
      </c>
      <c r="U18">
        <v>9.1999999999999993</v>
      </c>
      <c r="V18">
        <v>9.25</v>
      </c>
      <c r="W18">
        <v>-27.15</v>
      </c>
      <c r="X18">
        <v>-74.59</v>
      </c>
      <c r="Y18" t="s">
        <v>2</v>
      </c>
      <c r="Z18" t="s">
        <v>193</v>
      </c>
      <c r="AA18">
        <v>10821275</v>
      </c>
      <c r="AB18">
        <v>2027155</v>
      </c>
      <c r="AC18">
        <v>23.05</v>
      </c>
      <c r="AD18">
        <v>8794120</v>
      </c>
      <c r="AE18">
        <v>53449200</v>
      </c>
    </row>
    <row r="19" spans="1:31" x14ac:dyDescent="0.25">
      <c r="A19" t="s">
        <v>21</v>
      </c>
      <c r="B19">
        <v>189.2</v>
      </c>
      <c r="C19">
        <v>39.799999999999997</v>
      </c>
      <c r="F19">
        <v>14</v>
      </c>
      <c r="G19">
        <v>325</v>
      </c>
      <c r="H19">
        <v>324.35000000000002</v>
      </c>
      <c r="I19">
        <v>325.7</v>
      </c>
      <c r="J19">
        <v>101.25</v>
      </c>
      <c r="K19">
        <v>45.11</v>
      </c>
      <c r="L19" t="s">
        <v>1</v>
      </c>
      <c r="M19" t="s">
        <v>196</v>
      </c>
      <c r="N19">
        <v>1948125</v>
      </c>
      <c r="O19">
        <v>-214625</v>
      </c>
      <c r="P19">
        <v>-9.92</v>
      </c>
      <c r="Q19">
        <v>2162750</v>
      </c>
      <c r="R19">
        <v>4872750</v>
      </c>
      <c r="S19" s="3">
        <v>23550</v>
      </c>
      <c r="T19">
        <v>11.45</v>
      </c>
      <c r="U19">
        <v>11.4</v>
      </c>
      <c r="V19">
        <v>11.4</v>
      </c>
      <c r="W19">
        <v>-32.700000000000003</v>
      </c>
      <c r="X19">
        <v>-74.150000000000006</v>
      </c>
      <c r="Y19" t="s">
        <v>2</v>
      </c>
      <c r="Z19" t="s">
        <v>195</v>
      </c>
      <c r="AA19">
        <v>4439050</v>
      </c>
      <c r="AB19">
        <v>298470</v>
      </c>
      <c r="AC19">
        <v>7.21</v>
      </c>
      <c r="AD19">
        <v>4140580</v>
      </c>
      <c r="AE19">
        <v>31126425</v>
      </c>
    </row>
    <row r="20" spans="1:31" x14ac:dyDescent="0.25">
      <c r="A20" t="s">
        <v>22</v>
      </c>
      <c r="B20">
        <v>16940</v>
      </c>
      <c r="C20">
        <v>63125</v>
      </c>
      <c r="F20">
        <v>15</v>
      </c>
      <c r="G20">
        <v>278.45</v>
      </c>
      <c r="H20">
        <v>277.95</v>
      </c>
      <c r="I20">
        <v>278.10000000000002</v>
      </c>
      <c r="J20">
        <v>92.85</v>
      </c>
      <c r="K20">
        <v>50.12</v>
      </c>
      <c r="L20" t="s">
        <v>1</v>
      </c>
      <c r="M20" t="s">
        <v>197</v>
      </c>
      <c r="N20">
        <v>3670750</v>
      </c>
      <c r="O20">
        <v>-821500</v>
      </c>
      <c r="P20">
        <v>-18.29</v>
      </c>
      <c r="Q20">
        <v>4492250</v>
      </c>
      <c r="R20">
        <v>26553175</v>
      </c>
      <c r="S20" s="3">
        <v>23600</v>
      </c>
      <c r="T20">
        <v>15.25</v>
      </c>
      <c r="U20">
        <v>15.2</v>
      </c>
      <c r="V20">
        <v>15.2</v>
      </c>
      <c r="W20">
        <v>-39.35</v>
      </c>
      <c r="X20">
        <v>-72.14</v>
      </c>
      <c r="Y20" t="s">
        <v>2</v>
      </c>
      <c r="Z20" t="s">
        <v>198</v>
      </c>
      <c r="AA20">
        <v>8843350</v>
      </c>
      <c r="AB20">
        <v>1423250</v>
      </c>
      <c r="AC20">
        <v>19.18</v>
      </c>
      <c r="AD20">
        <v>7420100</v>
      </c>
      <c r="AE20">
        <v>69791975</v>
      </c>
    </row>
    <row r="21" spans="1:31" x14ac:dyDescent="0.25">
      <c r="A21" t="s">
        <v>23</v>
      </c>
      <c r="B21">
        <v>47000</v>
      </c>
      <c r="C21">
        <v>47000</v>
      </c>
      <c r="F21">
        <v>16</v>
      </c>
      <c r="G21">
        <v>233.75</v>
      </c>
      <c r="H21">
        <v>233.4</v>
      </c>
      <c r="I21">
        <v>233.7</v>
      </c>
      <c r="J21">
        <v>84.4</v>
      </c>
      <c r="K21">
        <v>56.53</v>
      </c>
      <c r="L21" t="s">
        <v>1</v>
      </c>
      <c r="M21" t="s">
        <v>199</v>
      </c>
      <c r="N21">
        <v>1029125</v>
      </c>
      <c r="O21">
        <v>-588625</v>
      </c>
      <c r="P21">
        <v>-36.39</v>
      </c>
      <c r="Q21">
        <v>1617750</v>
      </c>
      <c r="R21">
        <v>23598325</v>
      </c>
      <c r="S21" s="3">
        <v>23650</v>
      </c>
      <c r="T21">
        <v>20.7</v>
      </c>
      <c r="U21">
        <v>20.65</v>
      </c>
      <c r="V21">
        <v>20.65</v>
      </c>
      <c r="W21">
        <v>-48.65</v>
      </c>
      <c r="X21">
        <v>-70.2</v>
      </c>
      <c r="Y21" t="s">
        <v>2</v>
      </c>
      <c r="Z21" t="s">
        <v>200</v>
      </c>
      <c r="AA21">
        <v>3873700</v>
      </c>
      <c r="AB21">
        <v>1406080</v>
      </c>
      <c r="AC21">
        <v>56.98</v>
      </c>
      <c r="AD21">
        <v>2467620</v>
      </c>
      <c r="AE21">
        <v>43675750</v>
      </c>
    </row>
    <row r="22" spans="1:31" x14ac:dyDescent="0.25">
      <c r="A22" t="s">
        <v>24</v>
      </c>
      <c r="B22">
        <v>888.05</v>
      </c>
      <c r="C22">
        <v>39.799999999999997</v>
      </c>
      <c r="F22">
        <v>17</v>
      </c>
      <c r="G22">
        <v>191.5</v>
      </c>
      <c r="H22">
        <v>191.2</v>
      </c>
      <c r="I22">
        <v>191.15</v>
      </c>
      <c r="J22">
        <v>73.8</v>
      </c>
      <c r="K22">
        <v>62.89</v>
      </c>
      <c r="L22" t="s">
        <v>1</v>
      </c>
      <c r="M22" t="s">
        <v>202</v>
      </c>
      <c r="N22">
        <v>4737600</v>
      </c>
      <c r="O22">
        <v>361800</v>
      </c>
      <c r="P22">
        <v>8.27</v>
      </c>
      <c r="Q22">
        <v>4375800</v>
      </c>
      <c r="R22">
        <v>99651900</v>
      </c>
      <c r="S22" s="3">
        <v>23700</v>
      </c>
      <c r="T22">
        <v>29.15</v>
      </c>
      <c r="U22">
        <v>29.05</v>
      </c>
      <c r="V22">
        <v>29.15</v>
      </c>
      <c r="W22">
        <v>-57.25</v>
      </c>
      <c r="X22">
        <v>-66.260000000000005</v>
      </c>
      <c r="Y22" t="s">
        <v>2</v>
      </c>
      <c r="Z22" t="s">
        <v>201</v>
      </c>
      <c r="AA22">
        <v>9569175</v>
      </c>
      <c r="AB22">
        <v>5890725</v>
      </c>
      <c r="AC22">
        <v>160.13999999999999</v>
      </c>
      <c r="AD22">
        <v>3678450</v>
      </c>
      <c r="AE22">
        <v>113733050</v>
      </c>
    </row>
    <row r="23" spans="1:31" x14ac:dyDescent="0.25">
      <c r="A23" t="s">
        <v>25</v>
      </c>
      <c r="B23">
        <v>49781</v>
      </c>
      <c r="C23">
        <v>19430</v>
      </c>
      <c r="F23">
        <v>18</v>
      </c>
      <c r="G23">
        <v>153.85</v>
      </c>
      <c r="H23">
        <v>153.5</v>
      </c>
      <c r="I23">
        <v>153.55000000000001</v>
      </c>
      <c r="J23">
        <v>64.3</v>
      </c>
      <c r="K23">
        <v>72.040000000000006</v>
      </c>
      <c r="L23" t="s">
        <v>1</v>
      </c>
      <c r="M23" t="s">
        <v>204</v>
      </c>
      <c r="N23">
        <v>2026800</v>
      </c>
      <c r="O23">
        <v>118050</v>
      </c>
      <c r="P23">
        <v>6.18</v>
      </c>
      <c r="Q23">
        <v>1908750</v>
      </c>
      <c r="R23">
        <v>71095500</v>
      </c>
      <c r="S23" s="3">
        <v>23750</v>
      </c>
      <c r="T23">
        <v>40.549999999999997</v>
      </c>
      <c r="U23">
        <v>40.5</v>
      </c>
      <c r="V23">
        <v>40.549999999999997</v>
      </c>
      <c r="W23">
        <v>-66.400000000000006</v>
      </c>
      <c r="X23">
        <v>-62.09</v>
      </c>
      <c r="Y23" t="s">
        <v>2</v>
      </c>
      <c r="Z23" t="s">
        <v>203</v>
      </c>
      <c r="AA23">
        <v>3428025</v>
      </c>
      <c r="AB23">
        <v>2281625</v>
      </c>
      <c r="AC23">
        <v>199.03</v>
      </c>
      <c r="AD23">
        <v>1146400</v>
      </c>
      <c r="AE23">
        <v>52747125</v>
      </c>
    </row>
    <row r="24" spans="1:31" x14ac:dyDescent="0.25">
      <c r="A24" t="s">
        <v>26</v>
      </c>
      <c r="B24">
        <v>57000</v>
      </c>
      <c r="C24">
        <v>39500</v>
      </c>
      <c r="F24">
        <v>19</v>
      </c>
      <c r="G24">
        <v>118.95</v>
      </c>
      <c r="H24">
        <v>118.75</v>
      </c>
      <c r="I24">
        <v>119</v>
      </c>
      <c r="J24">
        <v>54.2</v>
      </c>
      <c r="K24">
        <v>83.64</v>
      </c>
      <c r="L24" t="s">
        <v>1</v>
      </c>
      <c r="M24" t="s">
        <v>206</v>
      </c>
      <c r="N24">
        <v>5697350</v>
      </c>
      <c r="O24">
        <v>1547630</v>
      </c>
      <c r="P24">
        <v>37.29</v>
      </c>
      <c r="Q24">
        <v>4149720</v>
      </c>
      <c r="R24">
        <v>120118200</v>
      </c>
      <c r="S24" s="3">
        <v>23800</v>
      </c>
      <c r="T24">
        <v>56.15</v>
      </c>
      <c r="U24">
        <v>56</v>
      </c>
      <c r="V24">
        <v>56</v>
      </c>
      <c r="W24">
        <v>-77.5</v>
      </c>
      <c r="X24">
        <v>-58.05</v>
      </c>
      <c r="Y24" t="s">
        <v>2</v>
      </c>
      <c r="Z24" t="s">
        <v>205</v>
      </c>
      <c r="AA24">
        <v>7826375</v>
      </c>
      <c r="AB24">
        <v>6689225</v>
      </c>
      <c r="AC24">
        <v>588.24</v>
      </c>
      <c r="AD24">
        <v>1137150</v>
      </c>
      <c r="AE24">
        <v>79023275</v>
      </c>
    </row>
    <row r="25" spans="1:31" x14ac:dyDescent="0.25">
      <c r="A25" t="s">
        <v>27</v>
      </c>
      <c r="B25">
        <v>0.9</v>
      </c>
      <c r="C25">
        <v>1.05</v>
      </c>
      <c r="F25">
        <v>20</v>
      </c>
      <c r="G25">
        <v>90.05</v>
      </c>
      <c r="H25">
        <v>89.95</v>
      </c>
      <c r="I25">
        <v>90</v>
      </c>
      <c r="J25">
        <v>44.3</v>
      </c>
      <c r="K25">
        <v>96.94</v>
      </c>
      <c r="L25" t="s">
        <v>1</v>
      </c>
      <c r="M25" t="s">
        <v>208</v>
      </c>
      <c r="N25">
        <v>4069775</v>
      </c>
      <c r="O25">
        <v>2105795</v>
      </c>
      <c r="P25">
        <v>107.22</v>
      </c>
      <c r="Q25">
        <v>1963980</v>
      </c>
      <c r="R25">
        <v>78867900</v>
      </c>
      <c r="S25" s="3">
        <v>23850</v>
      </c>
      <c r="T25">
        <v>77.650000000000006</v>
      </c>
      <c r="U25">
        <v>77.45</v>
      </c>
      <c r="V25">
        <v>77.5</v>
      </c>
      <c r="W25">
        <v>-86.25</v>
      </c>
      <c r="X25">
        <v>-52.67</v>
      </c>
      <c r="Y25" t="s">
        <v>2</v>
      </c>
      <c r="Z25" t="s">
        <v>207</v>
      </c>
      <c r="AA25">
        <v>4006775</v>
      </c>
      <c r="AB25">
        <v>3695225</v>
      </c>
      <c r="AC25">
        <v>1186.08</v>
      </c>
      <c r="AD25">
        <v>311550</v>
      </c>
      <c r="AE25">
        <v>34548850</v>
      </c>
    </row>
    <row r="26" spans="1:31" x14ac:dyDescent="0.25">
      <c r="A26" t="s">
        <v>28</v>
      </c>
      <c r="B26">
        <v>59152340</v>
      </c>
      <c r="C26">
        <v>56634883</v>
      </c>
      <c r="F26">
        <v>21</v>
      </c>
      <c r="G26">
        <v>66.099999999999994</v>
      </c>
      <c r="H26">
        <v>66.05</v>
      </c>
      <c r="I26">
        <v>66.099999999999994</v>
      </c>
      <c r="J26">
        <v>34.65</v>
      </c>
      <c r="K26">
        <v>110.17</v>
      </c>
      <c r="L26" t="s">
        <v>1</v>
      </c>
      <c r="M26" t="s">
        <v>209</v>
      </c>
      <c r="N26">
        <v>6581975</v>
      </c>
      <c r="O26">
        <v>2604325</v>
      </c>
      <c r="P26">
        <v>65.47</v>
      </c>
      <c r="Q26">
        <v>3977650</v>
      </c>
      <c r="R26">
        <v>85556850</v>
      </c>
      <c r="S26" s="3">
        <v>23900</v>
      </c>
      <c r="T26">
        <v>103.3</v>
      </c>
      <c r="U26">
        <v>103.1</v>
      </c>
      <c r="V26">
        <v>103.3</v>
      </c>
      <c r="W26">
        <v>-96.9</v>
      </c>
      <c r="X26">
        <v>-48.4</v>
      </c>
      <c r="Y26" t="s">
        <v>2</v>
      </c>
      <c r="Z26" t="s">
        <v>210</v>
      </c>
      <c r="AA26">
        <v>2135650</v>
      </c>
      <c r="AB26">
        <v>1770300</v>
      </c>
      <c r="AC26">
        <v>484.55</v>
      </c>
      <c r="AD26">
        <v>365350</v>
      </c>
      <c r="AE26">
        <v>22745225</v>
      </c>
    </row>
    <row r="27" spans="1:31" x14ac:dyDescent="0.25">
      <c r="A27" t="s">
        <v>29</v>
      </c>
      <c r="B27">
        <v>47500</v>
      </c>
      <c r="C27">
        <v>47000</v>
      </c>
      <c r="F27">
        <v>22</v>
      </c>
      <c r="G27">
        <v>46.35</v>
      </c>
      <c r="H27">
        <v>46.3</v>
      </c>
      <c r="I27">
        <v>46.35</v>
      </c>
      <c r="J27">
        <v>25.1</v>
      </c>
      <c r="K27">
        <v>118.12</v>
      </c>
      <c r="L27" t="s">
        <v>1</v>
      </c>
      <c r="M27" t="s">
        <v>211</v>
      </c>
      <c r="N27">
        <v>2502200</v>
      </c>
      <c r="O27">
        <v>790320</v>
      </c>
      <c r="P27">
        <v>46.17</v>
      </c>
      <c r="Q27">
        <v>1711880</v>
      </c>
      <c r="R27">
        <v>48613250</v>
      </c>
      <c r="S27" s="3">
        <v>23950</v>
      </c>
      <c r="T27">
        <v>133.80000000000001</v>
      </c>
      <c r="U27">
        <v>133.55000000000001</v>
      </c>
      <c r="V27">
        <v>133.75</v>
      </c>
      <c r="W27">
        <v>-104.2</v>
      </c>
      <c r="X27">
        <v>-43.79</v>
      </c>
      <c r="Y27" t="s">
        <v>2</v>
      </c>
      <c r="Z27" t="s">
        <v>212</v>
      </c>
      <c r="AA27">
        <v>444000</v>
      </c>
      <c r="AB27">
        <v>343175</v>
      </c>
      <c r="AC27">
        <v>340.37</v>
      </c>
      <c r="AD27">
        <v>100825</v>
      </c>
      <c r="AE27">
        <v>4571050</v>
      </c>
    </row>
    <row r="28" spans="1:31" x14ac:dyDescent="0.25">
      <c r="A28" t="s">
        <v>30</v>
      </c>
      <c r="B28">
        <v>470.15</v>
      </c>
      <c r="C28">
        <v>39.799999999999997</v>
      </c>
      <c r="F28">
        <v>23</v>
      </c>
      <c r="G28">
        <v>31.55</v>
      </c>
      <c r="H28">
        <v>31.45</v>
      </c>
      <c r="I28">
        <v>31.5</v>
      </c>
      <c r="J28">
        <v>16.75</v>
      </c>
      <c r="K28">
        <v>113.56</v>
      </c>
      <c r="L28" t="s">
        <v>1</v>
      </c>
      <c r="M28" t="s">
        <v>214</v>
      </c>
      <c r="N28">
        <v>12262175</v>
      </c>
      <c r="O28">
        <v>1532175</v>
      </c>
      <c r="P28">
        <v>14.28</v>
      </c>
      <c r="Q28">
        <v>10730000</v>
      </c>
      <c r="R28">
        <v>118700800</v>
      </c>
      <c r="S28" s="3">
        <v>24000</v>
      </c>
      <c r="T28">
        <v>169.2</v>
      </c>
      <c r="U28">
        <v>168.85</v>
      </c>
      <c r="V28">
        <v>168.95</v>
      </c>
      <c r="W28">
        <v>-115.1</v>
      </c>
      <c r="X28">
        <v>-40.520000000000003</v>
      </c>
      <c r="Y28" t="s">
        <v>2</v>
      </c>
      <c r="Z28" t="s">
        <v>213</v>
      </c>
      <c r="AA28">
        <v>2270800</v>
      </c>
      <c r="AB28">
        <v>857300</v>
      </c>
      <c r="AC28">
        <v>60.65</v>
      </c>
      <c r="AD28">
        <v>1413500</v>
      </c>
      <c r="AE28">
        <v>9528250</v>
      </c>
    </row>
    <row r="29" spans="1:31" x14ac:dyDescent="0.25">
      <c r="F29">
        <v>24</v>
      </c>
      <c r="G29">
        <v>19.850000000000001</v>
      </c>
      <c r="H29">
        <v>19.75</v>
      </c>
      <c r="I29">
        <v>19.850000000000001</v>
      </c>
      <c r="J29">
        <v>10.45</v>
      </c>
      <c r="K29">
        <v>111.17</v>
      </c>
      <c r="L29" t="s">
        <v>1</v>
      </c>
      <c r="M29" t="s">
        <v>216</v>
      </c>
      <c r="N29">
        <v>4340875</v>
      </c>
      <c r="O29">
        <v>1634425</v>
      </c>
      <c r="P29">
        <v>60.39</v>
      </c>
      <c r="Q29">
        <v>2706450</v>
      </c>
      <c r="R29">
        <v>50625350</v>
      </c>
      <c r="S29" s="3">
        <v>24050</v>
      </c>
      <c r="T29">
        <v>207.5</v>
      </c>
      <c r="U29">
        <v>207.05</v>
      </c>
      <c r="V29">
        <v>208.05</v>
      </c>
      <c r="W29">
        <v>-115.75</v>
      </c>
      <c r="X29">
        <v>-35.75</v>
      </c>
      <c r="Y29" t="s">
        <v>2</v>
      </c>
      <c r="Z29" t="s">
        <v>215</v>
      </c>
      <c r="AA29">
        <v>57425</v>
      </c>
      <c r="AB29">
        <v>49025</v>
      </c>
      <c r="AC29">
        <v>583.63</v>
      </c>
      <c r="AD29">
        <v>8400</v>
      </c>
      <c r="AE29">
        <v>552500</v>
      </c>
    </row>
    <row r="30" spans="1:31" x14ac:dyDescent="0.25">
      <c r="F30">
        <v>25</v>
      </c>
      <c r="G30">
        <v>12.45</v>
      </c>
      <c r="H30">
        <v>12.4</v>
      </c>
      <c r="I30">
        <v>12.45</v>
      </c>
      <c r="J30">
        <v>6.2</v>
      </c>
      <c r="K30">
        <v>99.2</v>
      </c>
      <c r="L30" t="s">
        <v>1</v>
      </c>
      <c r="M30" t="s">
        <v>271</v>
      </c>
      <c r="N30">
        <v>6114650</v>
      </c>
      <c r="O30">
        <v>1458750</v>
      </c>
      <c r="P30">
        <v>31.33</v>
      </c>
      <c r="Q30">
        <v>4655900</v>
      </c>
      <c r="R30">
        <v>62498450</v>
      </c>
      <c r="S30" s="3">
        <v>24100</v>
      </c>
      <c r="T30">
        <v>249.75</v>
      </c>
      <c r="U30">
        <v>249</v>
      </c>
      <c r="V30">
        <v>249.05</v>
      </c>
      <c r="W30">
        <v>-122.2</v>
      </c>
      <c r="X30">
        <v>-32.92</v>
      </c>
      <c r="Y30" t="s">
        <v>2</v>
      </c>
      <c r="Z30" t="s">
        <v>272</v>
      </c>
      <c r="AA30">
        <v>107225</v>
      </c>
      <c r="AB30">
        <v>78050</v>
      </c>
      <c r="AC30">
        <v>267.52</v>
      </c>
      <c r="AD30">
        <v>29175</v>
      </c>
      <c r="AE30">
        <v>660775</v>
      </c>
    </row>
    <row r="31" spans="1:31" x14ac:dyDescent="0.25">
      <c r="F31">
        <v>26</v>
      </c>
      <c r="G31">
        <v>7.6</v>
      </c>
      <c r="H31">
        <v>7.55</v>
      </c>
      <c r="I31">
        <v>7.55</v>
      </c>
      <c r="J31">
        <v>3.3</v>
      </c>
      <c r="K31">
        <v>77.650000000000006</v>
      </c>
      <c r="L31" t="s">
        <v>1</v>
      </c>
      <c r="M31" t="s">
        <v>273</v>
      </c>
      <c r="N31">
        <v>2414850</v>
      </c>
      <c r="O31">
        <v>561950</v>
      </c>
      <c r="P31">
        <v>30.33</v>
      </c>
      <c r="Q31">
        <v>1852900</v>
      </c>
      <c r="R31">
        <v>42215750</v>
      </c>
      <c r="S31" s="3">
        <v>24150</v>
      </c>
      <c r="T31">
        <v>295</v>
      </c>
      <c r="U31">
        <v>294.14999999999998</v>
      </c>
      <c r="V31">
        <v>295.89999999999998</v>
      </c>
      <c r="W31">
        <v>-124.6</v>
      </c>
      <c r="X31">
        <v>-29.63</v>
      </c>
      <c r="Y31" t="s">
        <v>2</v>
      </c>
      <c r="Z31" t="s">
        <v>274</v>
      </c>
      <c r="AA31">
        <v>16075</v>
      </c>
      <c r="AB31">
        <v>5400</v>
      </c>
      <c r="AC31">
        <v>50.59</v>
      </c>
      <c r="AD31">
        <v>10675</v>
      </c>
      <c r="AE31">
        <v>103650</v>
      </c>
    </row>
    <row r="32" spans="1:31" x14ac:dyDescent="0.25">
      <c r="F32">
        <v>27</v>
      </c>
      <c r="G32">
        <v>4.7</v>
      </c>
      <c r="H32">
        <v>4.6500000000000004</v>
      </c>
      <c r="I32">
        <v>4.7</v>
      </c>
      <c r="J32">
        <v>1.45</v>
      </c>
      <c r="K32">
        <v>44.62</v>
      </c>
      <c r="L32" t="s">
        <v>1</v>
      </c>
      <c r="M32" t="s">
        <v>275</v>
      </c>
      <c r="N32">
        <v>6760375</v>
      </c>
      <c r="O32">
        <v>965275</v>
      </c>
      <c r="P32">
        <v>16.66</v>
      </c>
      <c r="Q32">
        <v>5795100</v>
      </c>
      <c r="R32">
        <v>63386400</v>
      </c>
      <c r="S32" s="3">
        <v>24200</v>
      </c>
      <c r="T32">
        <v>342.3</v>
      </c>
      <c r="U32">
        <v>341.25</v>
      </c>
      <c r="V32">
        <v>343.2</v>
      </c>
      <c r="W32">
        <v>-126.1</v>
      </c>
      <c r="X32">
        <v>-26.87</v>
      </c>
      <c r="Y32" t="s">
        <v>2</v>
      </c>
      <c r="Z32" t="s">
        <v>276</v>
      </c>
      <c r="AA32">
        <v>43925</v>
      </c>
      <c r="AB32">
        <v>29250</v>
      </c>
      <c r="AC32">
        <v>199.32</v>
      </c>
      <c r="AD32">
        <v>14675</v>
      </c>
      <c r="AE32">
        <v>234475</v>
      </c>
    </row>
    <row r="33" spans="6:31" x14ac:dyDescent="0.25">
      <c r="F33">
        <v>28</v>
      </c>
      <c r="G33">
        <v>2.85</v>
      </c>
      <c r="H33">
        <v>2.8</v>
      </c>
      <c r="I33">
        <v>2.85</v>
      </c>
      <c r="J33">
        <v>0.55000000000000004</v>
      </c>
      <c r="K33">
        <v>23.91</v>
      </c>
      <c r="L33" t="s">
        <v>1</v>
      </c>
      <c r="M33" t="s">
        <v>277</v>
      </c>
      <c r="N33">
        <v>2498325</v>
      </c>
      <c r="O33">
        <v>1027505</v>
      </c>
      <c r="P33">
        <v>69.86</v>
      </c>
      <c r="Q33">
        <v>1470820</v>
      </c>
      <c r="R33">
        <v>24777750</v>
      </c>
      <c r="S33" s="3">
        <v>24250</v>
      </c>
      <c r="T33">
        <v>390.9</v>
      </c>
      <c r="U33">
        <v>389.15</v>
      </c>
      <c r="V33">
        <v>389.85</v>
      </c>
      <c r="W33">
        <v>-128.9</v>
      </c>
      <c r="X33">
        <v>-24.85</v>
      </c>
      <c r="Y33" t="s">
        <v>2</v>
      </c>
      <c r="Z33" t="s">
        <v>278</v>
      </c>
      <c r="AA33">
        <v>8925</v>
      </c>
      <c r="AB33">
        <v>4125</v>
      </c>
      <c r="AC33">
        <v>85.94</v>
      </c>
      <c r="AD33">
        <v>4800</v>
      </c>
      <c r="AE33">
        <v>28025</v>
      </c>
    </row>
    <row r="34" spans="6:31" x14ac:dyDescent="0.25">
      <c r="F34">
        <v>29</v>
      </c>
      <c r="G34">
        <v>2.0499999999999998</v>
      </c>
      <c r="H34">
        <v>2</v>
      </c>
      <c r="I34">
        <v>2.0499999999999998</v>
      </c>
      <c r="J34">
        <v>0.25</v>
      </c>
      <c r="K34">
        <v>13.89</v>
      </c>
      <c r="L34" t="s">
        <v>1</v>
      </c>
      <c r="M34" t="s">
        <v>279</v>
      </c>
      <c r="N34">
        <v>4613550</v>
      </c>
      <c r="O34">
        <v>1211730</v>
      </c>
      <c r="P34">
        <v>35.619999999999997</v>
      </c>
      <c r="Q34">
        <v>3401820</v>
      </c>
      <c r="R34">
        <v>45799600</v>
      </c>
      <c r="S34" s="3">
        <v>24300</v>
      </c>
      <c r="T34">
        <v>440.05</v>
      </c>
      <c r="U34">
        <v>438.4</v>
      </c>
      <c r="V34">
        <v>437.5</v>
      </c>
      <c r="W34">
        <v>-134.25</v>
      </c>
      <c r="X34">
        <v>-23.48</v>
      </c>
      <c r="Y34" t="s">
        <v>2</v>
      </c>
      <c r="Z34" t="s">
        <v>280</v>
      </c>
      <c r="AA34">
        <v>10875</v>
      </c>
      <c r="AB34">
        <v>1375</v>
      </c>
      <c r="AC34">
        <v>14.47</v>
      </c>
      <c r="AD34">
        <v>9500</v>
      </c>
      <c r="AE34">
        <v>45075</v>
      </c>
    </row>
    <row r="35" spans="6:31" x14ac:dyDescent="0.25">
      <c r="F35">
        <v>30</v>
      </c>
      <c r="G35">
        <v>1.4</v>
      </c>
      <c r="H35">
        <v>1.35</v>
      </c>
      <c r="I35">
        <v>1.4</v>
      </c>
      <c r="J35">
        <v>-0.05</v>
      </c>
      <c r="K35">
        <v>-3.45</v>
      </c>
      <c r="L35" t="s">
        <v>1</v>
      </c>
      <c r="M35" t="s">
        <v>281</v>
      </c>
      <c r="N35">
        <v>1578700</v>
      </c>
      <c r="O35">
        <v>666175</v>
      </c>
      <c r="P35">
        <v>73</v>
      </c>
      <c r="Q35">
        <v>912525</v>
      </c>
      <c r="R35">
        <v>10720700</v>
      </c>
      <c r="S35" s="3">
        <v>24350</v>
      </c>
      <c r="T35">
        <v>489.55</v>
      </c>
      <c r="U35">
        <v>487</v>
      </c>
      <c r="V35">
        <v>497.7</v>
      </c>
      <c r="W35">
        <v>-120.85</v>
      </c>
      <c r="X35">
        <v>-19.54</v>
      </c>
      <c r="Y35" t="s">
        <v>2</v>
      </c>
      <c r="Z35" t="s">
        <v>282</v>
      </c>
      <c r="AA35">
        <v>6575</v>
      </c>
      <c r="AB35">
        <v>2975</v>
      </c>
      <c r="AC35">
        <v>82.64</v>
      </c>
      <c r="AD35">
        <v>3600</v>
      </c>
      <c r="AE35">
        <v>5850</v>
      </c>
    </row>
    <row r="36" spans="6:31" x14ac:dyDescent="0.25">
      <c r="F36">
        <v>31</v>
      </c>
      <c r="G36">
        <v>1.1499999999999999</v>
      </c>
      <c r="H36">
        <v>1.1000000000000001</v>
      </c>
      <c r="I36">
        <v>1.1000000000000001</v>
      </c>
      <c r="J36">
        <v>-0.1</v>
      </c>
      <c r="K36">
        <v>-8.33</v>
      </c>
      <c r="L36" t="s">
        <v>1</v>
      </c>
      <c r="M36" t="s">
        <v>283</v>
      </c>
      <c r="N36">
        <v>2077400</v>
      </c>
      <c r="O36">
        <v>381480</v>
      </c>
      <c r="P36">
        <v>22.49</v>
      </c>
      <c r="Q36">
        <v>1695920</v>
      </c>
      <c r="R36">
        <v>23237325</v>
      </c>
      <c r="S36" s="3">
        <v>24400</v>
      </c>
      <c r="T36">
        <v>539.29999999999995</v>
      </c>
      <c r="U36">
        <v>536.54999999999995</v>
      </c>
      <c r="V36">
        <v>538</v>
      </c>
      <c r="W36">
        <v>-126.65</v>
      </c>
      <c r="X36">
        <v>-19.059999999999999</v>
      </c>
      <c r="Y36" t="s">
        <v>2</v>
      </c>
      <c r="Z36" t="s">
        <v>284</v>
      </c>
      <c r="AA36">
        <v>4650</v>
      </c>
      <c r="AB36">
        <v>1000</v>
      </c>
      <c r="AC36">
        <v>27.4</v>
      </c>
      <c r="AD36">
        <v>3650</v>
      </c>
      <c r="AE36">
        <v>9025</v>
      </c>
    </row>
    <row r="37" spans="6:31" x14ac:dyDescent="0.25">
      <c r="F37">
        <v>32</v>
      </c>
      <c r="G37">
        <v>1</v>
      </c>
      <c r="H37">
        <v>0.95</v>
      </c>
      <c r="I37">
        <v>1</v>
      </c>
      <c r="J37">
        <v>-0.05</v>
      </c>
      <c r="K37">
        <v>-4.76</v>
      </c>
      <c r="L37" t="s">
        <v>1</v>
      </c>
      <c r="M37" t="s">
        <v>285</v>
      </c>
      <c r="N37">
        <v>760625</v>
      </c>
      <c r="O37">
        <v>190325</v>
      </c>
      <c r="P37">
        <v>33.369999999999997</v>
      </c>
      <c r="Q37">
        <v>570300</v>
      </c>
      <c r="R37">
        <v>4579575</v>
      </c>
      <c r="S37" s="3">
        <v>24450</v>
      </c>
      <c r="T37">
        <v>590.20000000000005</v>
      </c>
      <c r="U37">
        <v>586.54999999999995</v>
      </c>
      <c r="V37">
        <v>593.54999999999995</v>
      </c>
      <c r="W37">
        <v>-130.30000000000001</v>
      </c>
      <c r="X37">
        <v>-18</v>
      </c>
      <c r="Y37" t="s">
        <v>2</v>
      </c>
      <c r="Z37" t="s">
        <v>286</v>
      </c>
      <c r="AA37">
        <v>4025</v>
      </c>
      <c r="AB37">
        <v>0</v>
      </c>
      <c r="AC37">
        <v>0</v>
      </c>
      <c r="AD37">
        <v>4025</v>
      </c>
      <c r="AE37">
        <v>875</v>
      </c>
    </row>
    <row r="38" spans="6:31" x14ac:dyDescent="0.25">
      <c r="F38">
        <v>33</v>
      </c>
      <c r="G38">
        <v>0.95</v>
      </c>
      <c r="H38">
        <v>0.9</v>
      </c>
      <c r="I38">
        <v>0.9</v>
      </c>
      <c r="J38">
        <v>-0.2</v>
      </c>
      <c r="K38">
        <v>-18.18</v>
      </c>
      <c r="L38" t="s">
        <v>1</v>
      </c>
      <c r="M38" t="s">
        <v>287</v>
      </c>
      <c r="N38">
        <v>8008700</v>
      </c>
      <c r="O38">
        <v>941450</v>
      </c>
      <c r="P38">
        <v>13.32</v>
      </c>
      <c r="Q38">
        <v>7067250</v>
      </c>
      <c r="R38">
        <v>31806900</v>
      </c>
      <c r="S38" s="3">
        <v>24500</v>
      </c>
      <c r="T38">
        <v>639.85</v>
      </c>
      <c r="U38">
        <v>637.79999999999995</v>
      </c>
      <c r="V38">
        <v>638.1</v>
      </c>
      <c r="W38">
        <v>-133.4</v>
      </c>
      <c r="X38">
        <v>-17.29</v>
      </c>
      <c r="Y38" t="s">
        <v>2</v>
      </c>
      <c r="Z38" t="s">
        <v>288</v>
      </c>
      <c r="AA38">
        <v>90925</v>
      </c>
      <c r="AB38">
        <v>-3125</v>
      </c>
      <c r="AC38">
        <v>-3.32</v>
      </c>
      <c r="AD38">
        <v>94050</v>
      </c>
      <c r="AE38">
        <v>63050</v>
      </c>
    </row>
    <row r="39" spans="6:31" x14ac:dyDescent="0.25">
      <c r="F39">
        <v>34</v>
      </c>
      <c r="G39">
        <v>0.8</v>
      </c>
      <c r="H39">
        <v>0.75</v>
      </c>
      <c r="I39">
        <v>0.8</v>
      </c>
      <c r="J39">
        <v>-0.05</v>
      </c>
      <c r="K39">
        <v>-5.88</v>
      </c>
      <c r="L39" t="s">
        <v>1</v>
      </c>
      <c r="M39" t="s">
        <v>289</v>
      </c>
      <c r="N39">
        <v>589325</v>
      </c>
      <c r="O39">
        <v>47075</v>
      </c>
      <c r="P39">
        <v>8.68</v>
      </c>
      <c r="Q39">
        <v>542250</v>
      </c>
      <c r="R39">
        <v>3181250</v>
      </c>
      <c r="S39" s="3">
        <v>24550</v>
      </c>
      <c r="T39">
        <v>690.05</v>
      </c>
      <c r="U39">
        <v>686</v>
      </c>
      <c r="V39">
        <v>696.55</v>
      </c>
      <c r="W39">
        <v>-119.85</v>
      </c>
      <c r="X39">
        <v>-14.68</v>
      </c>
      <c r="Y39" t="s">
        <v>2</v>
      </c>
      <c r="Z39" t="s">
        <v>290</v>
      </c>
      <c r="AA39">
        <v>2975</v>
      </c>
      <c r="AB39">
        <v>-75</v>
      </c>
      <c r="AC39">
        <v>-2.46</v>
      </c>
      <c r="AD39">
        <v>3050</v>
      </c>
      <c r="AE39">
        <v>325</v>
      </c>
    </row>
    <row r="40" spans="6:31" x14ac:dyDescent="0.25">
      <c r="F40">
        <v>35</v>
      </c>
      <c r="G40">
        <v>0.7</v>
      </c>
      <c r="H40">
        <v>0.65</v>
      </c>
      <c r="I40">
        <v>0.7</v>
      </c>
      <c r="J40">
        <v>-0.1</v>
      </c>
      <c r="K40">
        <v>-12.5</v>
      </c>
      <c r="L40" t="s">
        <v>1</v>
      </c>
      <c r="M40" t="s">
        <v>291</v>
      </c>
      <c r="N40">
        <v>1705400</v>
      </c>
      <c r="O40">
        <v>188550</v>
      </c>
      <c r="P40">
        <v>12.43</v>
      </c>
      <c r="Q40">
        <v>1516850</v>
      </c>
      <c r="R40">
        <v>9388600</v>
      </c>
      <c r="S40" s="3">
        <v>24600</v>
      </c>
      <c r="T40">
        <v>739.3</v>
      </c>
      <c r="U40">
        <v>736.7</v>
      </c>
      <c r="V40">
        <v>751.55</v>
      </c>
      <c r="W40">
        <v>-116.15</v>
      </c>
      <c r="X40">
        <v>-13.39</v>
      </c>
      <c r="Y40" t="s">
        <v>2</v>
      </c>
      <c r="Z40" t="s">
        <v>292</v>
      </c>
      <c r="AA40">
        <v>5025</v>
      </c>
      <c r="AB40">
        <v>575</v>
      </c>
      <c r="AC40">
        <v>12.92</v>
      </c>
      <c r="AD40">
        <v>4450</v>
      </c>
      <c r="AE40">
        <v>3775</v>
      </c>
    </row>
    <row r="41" spans="6:31" x14ac:dyDescent="0.25">
      <c r="F41">
        <v>36</v>
      </c>
      <c r="G41">
        <v>0.65</v>
      </c>
      <c r="H41">
        <v>0.6</v>
      </c>
      <c r="I41">
        <v>0.6</v>
      </c>
      <c r="J41">
        <v>-0.15</v>
      </c>
      <c r="K41">
        <v>-20</v>
      </c>
      <c r="L41" t="s">
        <v>1</v>
      </c>
      <c r="M41" t="s">
        <v>293</v>
      </c>
      <c r="N41">
        <v>223750</v>
      </c>
      <c r="O41">
        <v>71600</v>
      </c>
      <c r="P41">
        <v>47.06</v>
      </c>
      <c r="Q41">
        <v>152150</v>
      </c>
      <c r="R41">
        <v>1229975</v>
      </c>
      <c r="S41" s="3">
        <v>24650</v>
      </c>
      <c r="T41">
        <v>789.95</v>
      </c>
      <c r="U41">
        <v>785.6</v>
      </c>
      <c r="V41">
        <v>800</v>
      </c>
      <c r="W41">
        <v>-126.5</v>
      </c>
      <c r="X41">
        <v>-13.65</v>
      </c>
      <c r="Y41" t="s">
        <v>2</v>
      </c>
      <c r="Z41" t="s">
        <v>294</v>
      </c>
      <c r="AA41">
        <v>2950</v>
      </c>
      <c r="AB41">
        <v>-575</v>
      </c>
      <c r="AC41">
        <v>-16.309999999999999</v>
      </c>
      <c r="AD41">
        <v>3525</v>
      </c>
      <c r="AE41">
        <v>975</v>
      </c>
    </row>
    <row r="42" spans="6:31" x14ac:dyDescent="0.25">
      <c r="F42">
        <v>37</v>
      </c>
      <c r="G42">
        <v>0.65</v>
      </c>
      <c r="H42">
        <v>0.6</v>
      </c>
      <c r="I42">
        <v>0.65</v>
      </c>
      <c r="J42">
        <v>-0.15</v>
      </c>
      <c r="K42">
        <v>-18.75</v>
      </c>
      <c r="L42" t="s">
        <v>1</v>
      </c>
      <c r="M42" t="s">
        <v>295</v>
      </c>
      <c r="N42">
        <v>640625</v>
      </c>
      <c r="O42">
        <v>93425</v>
      </c>
      <c r="P42">
        <v>17.07</v>
      </c>
      <c r="Q42">
        <v>547200</v>
      </c>
      <c r="R42">
        <v>6632125</v>
      </c>
      <c r="S42" s="3">
        <v>24700</v>
      </c>
      <c r="T42">
        <v>839.5</v>
      </c>
      <c r="U42">
        <v>835.45</v>
      </c>
      <c r="V42">
        <v>873.3</v>
      </c>
      <c r="W42">
        <v>-91.05</v>
      </c>
      <c r="X42">
        <v>-9.44</v>
      </c>
      <c r="Y42" t="s">
        <v>2</v>
      </c>
      <c r="Z42" t="s">
        <v>296</v>
      </c>
      <c r="AA42">
        <v>2925</v>
      </c>
      <c r="AB42">
        <v>-125</v>
      </c>
      <c r="AC42">
        <v>-4.0999999999999996</v>
      </c>
      <c r="AD42">
        <v>3050</v>
      </c>
      <c r="AE42">
        <v>625</v>
      </c>
    </row>
    <row r="43" spans="6:31" x14ac:dyDescent="0.25">
      <c r="F43">
        <v>38</v>
      </c>
      <c r="G43">
        <v>0.55000000000000004</v>
      </c>
      <c r="H43">
        <v>0.5</v>
      </c>
      <c r="I43">
        <v>0.55000000000000004</v>
      </c>
      <c r="J43">
        <v>-0.2</v>
      </c>
      <c r="K43">
        <v>-26.67</v>
      </c>
      <c r="L43" t="s">
        <v>1</v>
      </c>
      <c r="M43" t="s">
        <v>297</v>
      </c>
      <c r="N43">
        <v>419875</v>
      </c>
      <c r="O43">
        <v>-20975</v>
      </c>
      <c r="P43">
        <v>-4.76</v>
      </c>
      <c r="Q43">
        <v>440850</v>
      </c>
      <c r="R43">
        <v>2934075</v>
      </c>
      <c r="S43" s="3">
        <v>24750</v>
      </c>
      <c r="T43">
        <v>891.1</v>
      </c>
      <c r="U43">
        <v>881.75</v>
      </c>
      <c r="V43">
        <v>1154.55</v>
      </c>
      <c r="W43">
        <v>135.44999999999999</v>
      </c>
      <c r="X43">
        <v>13.29</v>
      </c>
      <c r="Y43" t="s">
        <v>2</v>
      </c>
      <c r="Z43" t="s">
        <v>298</v>
      </c>
      <c r="AA43">
        <v>0</v>
      </c>
      <c r="AB43">
        <v>0</v>
      </c>
      <c r="AC43">
        <v>0</v>
      </c>
      <c r="AD43">
        <v>2700</v>
      </c>
      <c r="AE43">
        <v>0</v>
      </c>
    </row>
    <row r="44" spans="6:31" x14ac:dyDescent="0.25">
      <c r="F44">
        <v>39</v>
      </c>
      <c r="G44">
        <v>0.45</v>
      </c>
      <c r="H44">
        <v>0.4</v>
      </c>
      <c r="I44">
        <v>0.45</v>
      </c>
      <c r="J44">
        <v>-0.25</v>
      </c>
      <c r="K44">
        <v>-35.71</v>
      </c>
      <c r="L44" t="s">
        <v>1</v>
      </c>
      <c r="M44" t="s">
        <v>489</v>
      </c>
      <c r="N44">
        <v>932350</v>
      </c>
      <c r="O44">
        <v>-80830</v>
      </c>
      <c r="P44">
        <v>-7.98</v>
      </c>
      <c r="Q44">
        <v>1013180</v>
      </c>
      <c r="R44">
        <v>8359175</v>
      </c>
      <c r="S44" s="3">
        <v>24800</v>
      </c>
      <c r="T44">
        <v>942.6</v>
      </c>
      <c r="U44">
        <v>934.95</v>
      </c>
      <c r="V44">
        <v>951.25</v>
      </c>
      <c r="W44">
        <v>-117.85</v>
      </c>
      <c r="X44">
        <v>-11.02</v>
      </c>
      <c r="Y44" t="s">
        <v>2</v>
      </c>
      <c r="Z44" t="s">
        <v>490</v>
      </c>
      <c r="AA44">
        <v>2925</v>
      </c>
      <c r="AB44">
        <v>-200</v>
      </c>
      <c r="AC44">
        <v>-6.4</v>
      </c>
      <c r="AD44">
        <v>3125</v>
      </c>
      <c r="AE44">
        <v>425</v>
      </c>
    </row>
    <row r="45" spans="6:31" x14ac:dyDescent="0.25">
      <c r="F45">
        <v>40</v>
      </c>
      <c r="G45">
        <v>0.5</v>
      </c>
      <c r="H45">
        <v>0.45</v>
      </c>
      <c r="I45">
        <v>0.45</v>
      </c>
      <c r="J45">
        <v>-0.25</v>
      </c>
      <c r="K45">
        <v>-35.71</v>
      </c>
      <c r="L45" t="s">
        <v>1</v>
      </c>
      <c r="M45" t="s">
        <v>577</v>
      </c>
      <c r="N45">
        <v>128025</v>
      </c>
      <c r="O45">
        <v>61325</v>
      </c>
      <c r="P45">
        <v>91.94</v>
      </c>
      <c r="Q45">
        <v>66700</v>
      </c>
      <c r="R45">
        <v>1149900</v>
      </c>
      <c r="S45" s="3">
        <v>24850</v>
      </c>
      <c r="T45">
        <v>1009.9</v>
      </c>
      <c r="U45">
        <v>959.55</v>
      </c>
      <c r="V45">
        <v>1109.0999999999999</v>
      </c>
      <c r="W45">
        <v>-5.15</v>
      </c>
      <c r="X45">
        <v>-0.46</v>
      </c>
      <c r="Y45" t="s">
        <v>2</v>
      </c>
      <c r="Z45" t="s">
        <v>578</v>
      </c>
      <c r="AA45">
        <v>0</v>
      </c>
      <c r="AB45">
        <v>0</v>
      </c>
      <c r="AC45">
        <v>0</v>
      </c>
      <c r="AD45">
        <v>2075</v>
      </c>
      <c r="AE45">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85DBD-9E6E-4186-9026-56AC3F5C12BA}">
  <sheetPr codeName="Sheet3"/>
  <dimension ref="A1:BB13"/>
  <sheetViews>
    <sheetView tabSelected="1" workbookViewId="0">
      <selection activeCell="J9" sqref="J9"/>
    </sheetView>
  </sheetViews>
  <sheetFormatPr defaultRowHeight="15" x14ac:dyDescent="0.25"/>
  <cols>
    <col min="8" max="8" width="5.5703125" style="8" bestFit="1" customWidth="1"/>
    <col min="9" max="10" width="11.42578125" style="7" customWidth="1"/>
    <col min="19" max="19" width="5.5703125" style="8" bestFit="1" customWidth="1"/>
    <col min="30" max="30" width="11.42578125" bestFit="1" customWidth="1"/>
    <col min="41" max="41" width="11.42578125" bestFit="1" customWidth="1"/>
  </cols>
  <sheetData>
    <row r="1" spans="1:54" x14ac:dyDescent="0.25">
      <c r="D1">
        <f>NIFTY!$N$2</f>
        <v>23850.9</v>
      </c>
      <c r="E1">
        <v>50</v>
      </c>
      <c r="O1">
        <f>N_BANK!N2</f>
        <v>52929.4</v>
      </c>
      <c r="P1">
        <v>100</v>
      </c>
      <c r="Z1">
        <f>'1.BANKEX'!$B$5</f>
        <v>54507.5</v>
      </c>
      <c r="AA1">
        <v>100</v>
      </c>
      <c r="AK1">
        <f>'1.SENSEX'!$B$5</f>
        <v>72776.13</v>
      </c>
      <c r="AL1">
        <v>100</v>
      </c>
      <c r="AV1">
        <f>'1.FINNIFTY'!$B$5</f>
        <v>21249.8</v>
      </c>
      <c r="AW1">
        <v>50</v>
      </c>
    </row>
    <row r="2" spans="1:54" x14ac:dyDescent="0.25">
      <c r="A2" t="s">
        <v>79</v>
      </c>
      <c r="B2" t="s">
        <v>36</v>
      </c>
      <c r="C2" t="s">
        <v>78</v>
      </c>
      <c r="D2" t="s">
        <v>77</v>
      </c>
      <c r="E2" t="s">
        <v>80</v>
      </c>
      <c r="F2" t="s">
        <v>70</v>
      </c>
      <c r="G2" t="s">
        <v>81</v>
      </c>
      <c r="H2" s="8" t="s">
        <v>82</v>
      </c>
      <c r="I2" s="7" t="s">
        <v>89</v>
      </c>
      <c r="J2" s="7" t="s">
        <v>90</v>
      </c>
      <c r="L2" t="s">
        <v>79</v>
      </c>
      <c r="M2" t="s">
        <v>36</v>
      </c>
      <c r="N2" t="s">
        <v>78</v>
      </c>
      <c r="O2" t="s">
        <v>77</v>
      </c>
      <c r="P2" t="s">
        <v>80</v>
      </c>
      <c r="Q2" t="s">
        <v>70</v>
      </c>
      <c r="R2" t="s">
        <v>81</v>
      </c>
      <c r="S2" s="8" t="s">
        <v>82</v>
      </c>
      <c r="T2" t="s">
        <v>89</v>
      </c>
      <c r="U2" t="s">
        <v>90</v>
      </c>
      <c r="W2" t="s">
        <v>79</v>
      </c>
      <c r="X2" t="s">
        <v>36</v>
      </c>
      <c r="Y2" t="s">
        <v>78</v>
      </c>
      <c r="Z2" t="s">
        <v>77</v>
      </c>
      <c r="AA2" t="s">
        <v>80</v>
      </c>
      <c r="AB2" t="s">
        <v>70</v>
      </c>
      <c r="AC2" t="s">
        <v>81</v>
      </c>
      <c r="AD2" t="s">
        <v>82</v>
      </c>
      <c r="AE2" t="s">
        <v>89</v>
      </c>
      <c r="AF2" t="s">
        <v>90</v>
      </c>
      <c r="AH2" t="s">
        <v>79</v>
      </c>
      <c r="AI2" t="s">
        <v>36</v>
      </c>
      <c r="AJ2" t="s">
        <v>78</v>
      </c>
      <c r="AK2" t="s">
        <v>77</v>
      </c>
      <c r="AL2" t="s">
        <v>80</v>
      </c>
      <c r="AM2" t="s">
        <v>70</v>
      </c>
      <c r="AN2" t="s">
        <v>81</v>
      </c>
      <c r="AO2" t="s">
        <v>82</v>
      </c>
      <c r="AP2" t="s">
        <v>89</v>
      </c>
      <c r="AQ2" t="s">
        <v>90</v>
      </c>
      <c r="AS2" t="s">
        <v>79</v>
      </c>
      <c r="AT2" t="s">
        <v>36</v>
      </c>
      <c r="AU2" t="s">
        <v>78</v>
      </c>
      <c r="AV2" t="s">
        <v>77</v>
      </c>
      <c r="AW2" t="s">
        <v>80</v>
      </c>
      <c r="AX2" t="s">
        <v>70</v>
      </c>
      <c r="AY2" t="s">
        <v>81</v>
      </c>
      <c r="AZ2" t="s">
        <v>82</v>
      </c>
      <c r="BA2" t="s">
        <v>89</v>
      </c>
      <c r="BB2" t="s">
        <v>90</v>
      </c>
    </row>
    <row r="3" spans="1:54" x14ac:dyDescent="0.25">
      <c r="A3">
        <f>LOOKUP($D3,NIFTY!$S$5:$S$45,NIFTY!$R$5:$R$45)</f>
        <v>26553175</v>
      </c>
      <c r="B3">
        <f>LOOKUP($D3,NIFTY!$S$5:$S$45,NIFTY!$N$5:$N$45)</f>
        <v>3670750</v>
      </c>
      <c r="C3">
        <f>LOOKUP($D3,NIFTY!$S$5:$S$45,NIFTY!$O$5:$O$45)</f>
        <v>-821500</v>
      </c>
      <c r="D3">
        <f t="shared" ref="D3:D6" si="0">D4-$E$1</f>
        <v>23600</v>
      </c>
      <c r="E3">
        <f>LOOKUP($D3,NIFTY!$S$5:$S$45,NIFTY!$AB$5:$AB$45)</f>
        <v>1423250</v>
      </c>
      <c r="F3">
        <f>LOOKUP($D3,NIFTY!$S$5:$S$45,NIFTY!$AA$5:$AA$45)</f>
        <v>8843350</v>
      </c>
      <c r="G3">
        <f>LOOKUP($D3,NIFTY!$S$5:$S$45,NIFTY!$AE$5:$AE$45)</f>
        <v>69791975</v>
      </c>
      <c r="H3" s="8">
        <f ca="1">NOW()</f>
        <v>45469.57169409722</v>
      </c>
      <c r="I3" s="7">
        <f>'1.NIFTY'!$C$15/'1.NIFTY'!$B$15</f>
        <v>0.77738454942806345</v>
      </c>
      <c r="J3" s="7">
        <f>'1.NIFTY'!$C$26/'1.NIFTY'!$B$26</f>
        <v>0.95283056739358618</v>
      </c>
      <c r="L3">
        <f>LOOKUP($O3,N_BANK!$S$5:$S$45,N_BANK!$R$5:$R$45)</f>
        <v>64395585</v>
      </c>
      <c r="M3">
        <f>LOOKUP($O3,N_BANK!$S$5:$S$45,N_BANK!$N$5:$N$45)</f>
        <v>1812045</v>
      </c>
      <c r="N3">
        <f>LOOKUP($O3,N_BANK!$S$5:$S$45,N_BANK!$O$5:$O$45)</f>
        <v>1002150</v>
      </c>
      <c r="O3">
        <f t="shared" ref="O3:O6" si="1">O4-$P$1</f>
        <v>52400</v>
      </c>
      <c r="P3">
        <f>LOOKUP($O3,N_BANK!$S$5:$S$45,N_BANK!$AA$5:$AA$45)</f>
        <v>4774410</v>
      </c>
      <c r="Q3">
        <f>LOOKUP($O3,N_BANK!$S$5:$S$45,N_BANK!$AB$5:$AB$45)</f>
        <v>3576770</v>
      </c>
      <c r="R3">
        <f>LOOKUP($O3,N_BANK!$S$5:$S$45,N_BANK!$AE$5:$AE$45)</f>
        <v>150395040</v>
      </c>
      <c r="S3" s="8">
        <f ca="1">NOW()</f>
        <v>45469.57169409722</v>
      </c>
      <c r="T3">
        <f>BANK_NIFTY!$C$15/BANK_NIFTY!$B$15</f>
        <v>0.90780683926525352</v>
      </c>
      <c r="U3">
        <f>BANK_NIFTY!$C$26/BANK_NIFTY!$B$26</f>
        <v>0.95744112574413798</v>
      </c>
      <c r="W3">
        <f>LOOKUP(Z3,'1.BANKEX'!$AA$2:$AA$22,'1.BANKEX'!$L$2:$L$22)</f>
        <v>6129643</v>
      </c>
      <c r="X3">
        <f>LOOKUP(Z3,'1.BANKEX'!$AA$2:$AA$22,'1.BANKEX'!$J$2:$J$22)</f>
        <v>18226</v>
      </c>
      <c r="Y3">
        <f>LOOKUP(Z3,'1.BANKEX'!$AA$2:$AA$22,'1.BANKEX'!$K$2:$K$22)</f>
        <v>17137</v>
      </c>
      <c r="Z3">
        <f t="shared" ref="Z3:Z6" si="2">Z4-$AA$1</f>
        <v>54000</v>
      </c>
      <c r="AA3">
        <f>LOOKUP(Z3,'1.BANKEX'!$AA$2:$AA$22,'1.BANKEX'!$AQ$2:$AQ$22)</f>
        <v>30056</v>
      </c>
      <c r="AB3">
        <f>LOOKUP(Z3,'1.BANKEX'!$AA$2:$AA$22,'1.BANKEX'!$AR$2:$AR$22)</f>
        <v>33324</v>
      </c>
      <c r="AC3">
        <f>LOOKUP(Z3,'1.BANKEX'!$AA$2:$AA$22,'1.BANKEX'!$AP$2:$AP$22)</f>
        <v>6182036</v>
      </c>
      <c r="AD3" s="8">
        <f ca="1">NOW()</f>
        <v>45469.571693981481</v>
      </c>
      <c r="AE3">
        <f>'1.BANKEX'!$C$15/'1.BANKEX'!$B$15</f>
        <v>0.99256091971492821</v>
      </c>
      <c r="AF3">
        <f>'1.BANKEX'!$C$26/'1.BANKEX'!$B$26</f>
        <v>0.96964261071348612</v>
      </c>
      <c r="AH3">
        <f>LOOKUP(AK3,'1.SENSEX'!$AA$2:$AA$22,'1.SENSEX'!$L$2:$L$22)</f>
        <v>44893</v>
      </c>
      <c r="AI3">
        <f>LOOKUP(AK3,'1.SENSEX'!$AA$2:$AA$22,'1.SENSEX'!$J$2:$J$22)</f>
        <v>486</v>
      </c>
      <c r="AJ3">
        <f>LOOKUP(AK3,'1.SENSEX'!$AA$2:$AA$22,'1.SENSEX'!$K$2:$K$22)</f>
        <v>0</v>
      </c>
      <c r="AK3">
        <f t="shared" ref="AK3:AK6" si="3">AK4-$AL$1</f>
        <v>72300</v>
      </c>
      <c r="AL3">
        <f>LOOKUP(AK3,'1.SENSEX'!$AA$2:$AA$22,'1.SENSEX'!$AQ$2:$AQ$22)</f>
        <v>0</v>
      </c>
      <c r="AM3">
        <f>LOOKUP(AK3,'1.SENSEX'!$AA$2:$AA$22,'1.SENSEX'!$AR$2:$AR$22)</f>
        <v>2691</v>
      </c>
      <c r="AN3">
        <f>LOOKUP(AK3,'1.SENSEX'!$AA$2:$AA$22,'1.SENSEX'!$AP$2:$AP$22)</f>
        <v>67840</v>
      </c>
      <c r="AO3" s="8">
        <f ca="1">NOW()</f>
        <v>45469.571693981481</v>
      </c>
      <c r="AP3">
        <f>'1.SENSEX'!$C$15/'1.SENSEX'!$B$15</f>
        <v>1.1178310740354536</v>
      </c>
      <c r="AQ3">
        <f>'1.SENSEX'!$C$26/'1.SENSEX'!$B$26</f>
        <v>0.95052425664312312</v>
      </c>
      <c r="AS3">
        <f>LOOKUP(AV3,'1.FINNIFTY'!$AA$2:$AA$22,'1.FINNIFTY'!$L$2:$L$22)</f>
        <v>828781</v>
      </c>
      <c r="AT3">
        <f>LOOKUP(AV3,'1.FINNIFTY'!$AA$2:$AA$22,'1.FINNIFTY'!$J$2:$J$22)</f>
        <v>7943</v>
      </c>
      <c r="AU3">
        <f>LOOKUP(AV3,'1.FINNIFTY'!$AA$2:$AA$22,'1.FINNIFTY'!$K$2:$K$22)</f>
        <v>0</v>
      </c>
      <c r="AV3">
        <f t="shared" ref="AV3:AV6" si="4">AV4-$AW$1</f>
        <v>21000</v>
      </c>
      <c r="AW3">
        <f>LOOKUP(AV3,'1.FINNIFTY'!$AA$2:$AA$22,'1.FINNIFTY'!$AQ$2:$AQ$22)</f>
        <v>0</v>
      </c>
      <c r="AX3">
        <f>LOOKUP(AV3,'1.FINNIFTY'!$AA$2:$AA$22,'1.FINNIFTY'!$AR$2:$AR$22)</f>
        <v>46916</v>
      </c>
      <c r="AY3">
        <f>LOOKUP(AV3,'1.FINNIFTY'!$AA$2:$AA$22,'1.FINNIFTY'!$AP$2:$AP$22)</f>
        <v>1644718</v>
      </c>
      <c r="AZ3" s="8">
        <f ca="1">NOW()</f>
        <v>45469.571693981481</v>
      </c>
      <c r="BA3">
        <f>'1.FINNIFTY'!$C$15/'1.FINNIFTY'!$B$15</f>
        <v>0.86637886322335589</v>
      </c>
      <c r="BB3">
        <f>'1.FINNIFTY'!$C$26/'1.FINNIFTY'!$B$26</f>
        <v>0.79601095594509019</v>
      </c>
    </row>
    <row r="4" spans="1:54" x14ac:dyDescent="0.25">
      <c r="A4">
        <f>LOOKUP($D4,NIFTY!$S$5:$S$45,NIFTY!$R$5:$R$45)</f>
        <v>23598325</v>
      </c>
      <c r="B4">
        <f>LOOKUP($D4,NIFTY!$S$5:$S$45,NIFTY!$N$5:$N$45)</f>
        <v>1029125</v>
      </c>
      <c r="C4">
        <f>LOOKUP($D4,NIFTY!$S$5:$S$45,NIFTY!$O$5:$O$45)</f>
        <v>-588625</v>
      </c>
      <c r="D4">
        <f t="shared" si="0"/>
        <v>23650</v>
      </c>
      <c r="E4">
        <f>LOOKUP($D4,NIFTY!$S$5:$S$45,NIFTY!$AB$5:$AB$45)</f>
        <v>1406080</v>
      </c>
      <c r="F4">
        <f>LOOKUP($D4,NIFTY!$S$5:$S$45,NIFTY!$AA$5:$AA$45)</f>
        <v>3873700</v>
      </c>
      <c r="G4">
        <f>LOOKUP($D4,NIFTY!$S$5:$S$45,NIFTY!$AE$5:$AE$45)</f>
        <v>43675750</v>
      </c>
      <c r="H4" s="8">
        <f t="shared" ref="H4:H13" ca="1" si="5">NOW()</f>
        <v>45469.57169409722</v>
      </c>
      <c r="L4">
        <f>LOOKUP($O4,N_BANK!$S$5:$S$45,N_BANK!$R$5:$R$45)</f>
        <v>138360405</v>
      </c>
      <c r="M4">
        <f>LOOKUP($O4,N_BANK!$S$5:$S$45,N_BANK!$N$5:$N$45)</f>
        <v>2580000</v>
      </c>
      <c r="N4">
        <f>LOOKUP($O4,N_BANK!$S$5:$S$45,N_BANK!$O$5:$O$45)</f>
        <v>865340</v>
      </c>
      <c r="O4">
        <f t="shared" si="1"/>
        <v>52500</v>
      </c>
      <c r="P4">
        <f>LOOKUP($O4,N_BANK!$S$5:$S$45,N_BANK!$AA$5:$AA$45)</f>
        <v>6722760</v>
      </c>
      <c r="Q4">
        <f>LOOKUP($O4,N_BANK!$S$5:$S$45,N_BANK!$AB$5:$AB$45)</f>
        <v>4656860</v>
      </c>
      <c r="R4">
        <f>LOOKUP($O4,N_BANK!$S$5:$S$45,N_BANK!$AE$5:$AE$45)</f>
        <v>214709250</v>
      </c>
      <c r="S4" s="8">
        <f t="shared" ref="S4:S13" ca="1" si="6">NOW()</f>
        <v>45469.57169409722</v>
      </c>
      <c r="W4">
        <f>LOOKUP(Z4,'1.BANKEX'!$AA$2:$AA$22,'1.BANKEX'!$L$2:$L$22)</f>
        <v>5253093</v>
      </c>
      <c r="X4">
        <f>LOOKUP(Z4,'1.BANKEX'!$AA$2:$AA$22,'1.BANKEX'!$J$2:$J$22)</f>
        <v>18617</v>
      </c>
      <c r="Y4">
        <f>LOOKUP(Z4,'1.BANKEX'!$AA$2:$AA$22,'1.BANKEX'!$K$2:$K$22)</f>
        <v>17800</v>
      </c>
      <c r="Z4">
        <f t="shared" si="2"/>
        <v>54100</v>
      </c>
      <c r="AA4">
        <f>LOOKUP(Z4,'1.BANKEX'!$AA$2:$AA$22,'1.BANKEX'!$AQ$2:$AQ$22)</f>
        <v>30140</v>
      </c>
      <c r="AB4">
        <f>LOOKUP(Z4,'1.BANKEX'!$AA$2:$AA$22,'1.BANKEX'!$AR$2:$AR$22)</f>
        <v>31432</v>
      </c>
      <c r="AC4">
        <f>LOOKUP(Z4,'1.BANKEX'!$AA$2:$AA$22,'1.BANKEX'!$AP$2:$AP$22)</f>
        <v>5160116</v>
      </c>
      <c r="AD4" s="8">
        <f t="shared" ref="AD4:AD13" ca="1" si="7">NOW()</f>
        <v>45469.571693981481</v>
      </c>
      <c r="AH4">
        <f>LOOKUP(AK4,'1.SENSEX'!$AA$2:$AA$22,'1.SENSEX'!$L$2:$L$22)</f>
        <v>33560</v>
      </c>
      <c r="AI4">
        <f>LOOKUP(AK4,'1.SENSEX'!$AA$2:$AA$22,'1.SENSEX'!$J$2:$J$22)</f>
        <v>464</v>
      </c>
      <c r="AJ4">
        <f>LOOKUP(AK4,'1.SENSEX'!$AA$2:$AA$22,'1.SENSEX'!$K$2:$K$22)</f>
        <v>0</v>
      </c>
      <c r="AK4">
        <f t="shared" si="3"/>
        <v>72400</v>
      </c>
      <c r="AL4">
        <f>LOOKUP(AK4,'1.SENSEX'!$AA$2:$AA$22,'1.SENSEX'!$AQ$2:$AQ$22)</f>
        <v>0</v>
      </c>
      <c r="AM4">
        <f>LOOKUP(AK4,'1.SENSEX'!$AA$2:$AA$22,'1.SENSEX'!$AR$2:$AR$22)</f>
        <v>999</v>
      </c>
      <c r="AN4">
        <f>LOOKUP(AK4,'1.SENSEX'!$AA$2:$AA$22,'1.SENSEX'!$AP$2:$AP$22)</f>
        <v>43508</v>
      </c>
      <c r="AO4" s="8">
        <f t="shared" ref="AO4:AO13" ca="1" si="8">NOW()</f>
        <v>45469.571693981481</v>
      </c>
      <c r="AS4">
        <f>LOOKUP(AV4,'1.FINNIFTY'!$AA$2:$AA$22,'1.FINNIFTY'!$L$2:$L$22)</f>
        <v>689179</v>
      </c>
      <c r="AT4">
        <f>LOOKUP(AV4,'1.FINNIFTY'!$AA$2:$AA$22,'1.FINNIFTY'!$J$2:$J$22)</f>
        <v>5309</v>
      </c>
      <c r="AU4">
        <f>LOOKUP(AV4,'1.FINNIFTY'!$AA$2:$AA$22,'1.FINNIFTY'!$K$2:$K$22)</f>
        <v>0</v>
      </c>
      <c r="AV4">
        <f t="shared" si="4"/>
        <v>21050</v>
      </c>
      <c r="AW4">
        <f>LOOKUP(AV4,'1.FINNIFTY'!$AA$2:$AA$22,'1.FINNIFTY'!$AQ$2:$AQ$22)</f>
        <v>0</v>
      </c>
      <c r="AX4">
        <f>LOOKUP(AV4,'1.FINNIFTY'!$AA$2:$AA$22,'1.FINNIFTY'!$AR$2:$AR$22)</f>
        <v>22386</v>
      </c>
      <c r="AY4">
        <f>LOOKUP(AV4,'1.FINNIFTY'!$AA$2:$AA$22,'1.FINNIFTY'!$AP$2:$AP$22)</f>
        <v>878844</v>
      </c>
      <c r="AZ4" s="8">
        <f t="shared" ref="AZ4:AZ13" ca="1" si="9">NOW()</f>
        <v>45469.571693981481</v>
      </c>
    </row>
    <row r="5" spans="1:54" x14ac:dyDescent="0.25">
      <c r="A5">
        <f>LOOKUP($D5,NIFTY!$S$5:$S$45,NIFTY!$R$5:$R$45)</f>
        <v>99651900</v>
      </c>
      <c r="B5">
        <f>LOOKUP($D5,NIFTY!$S$5:$S$45,NIFTY!$N$5:$N$45)</f>
        <v>4737600</v>
      </c>
      <c r="C5">
        <f>LOOKUP($D5,NIFTY!$S$5:$S$45,NIFTY!$O$5:$O$45)</f>
        <v>361800</v>
      </c>
      <c r="D5">
        <f t="shared" si="0"/>
        <v>23700</v>
      </c>
      <c r="E5">
        <f>LOOKUP($D5,NIFTY!$S$5:$S$45,NIFTY!$AB$5:$AB$45)</f>
        <v>5890725</v>
      </c>
      <c r="F5">
        <f>LOOKUP($D5,NIFTY!$S$5:$S$45,NIFTY!$AA$5:$AA$45)</f>
        <v>9569175</v>
      </c>
      <c r="G5">
        <f>LOOKUP($D5,NIFTY!$S$5:$S$45,NIFTY!$AE$5:$AE$45)</f>
        <v>113733050</v>
      </c>
      <c r="H5" s="8">
        <f t="shared" ca="1" si="5"/>
        <v>45469.57169409722</v>
      </c>
      <c r="L5">
        <f>LOOKUP($O5,N_BANK!$S$5:$S$45,N_BANK!$R$5:$R$45)</f>
        <v>132832245</v>
      </c>
      <c r="M5">
        <f>LOOKUP($O5,N_BANK!$S$5:$S$45,N_BANK!$N$5:$N$45)</f>
        <v>1456425</v>
      </c>
      <c r="N5">
        <f>LOOKUP($O5,N_BANK!$S$5:$S$45,N_BANK!$O$5:$O$45)</f>
        <v>371365</v>
      </c>
      <c r="O5">
        <f t="shared" si="1"/>
        <v>52600</v>
      </c>
      <c r="P5">
        <f>LOOKUP($O5,N_BANK!$S$5:$S$45,N_BANK!$AA$5:$AA$45)</f>
        <v>4163655</v>
      </c>
      <c r="Q5">
        <f>LOOKUP($O5,N_BANK!$S$5:$S$45,N_BANK!$AB$5:$AB$45)</f>
        <v>3087755</v>
      </c>
      <c r="R5">
        <f>LOOKUP($O5,N_BANK!$S$5:$S$45,N_BANK!$AE$5:$AE$45)</f>
        <v>153958845</v>
      </c>
      <c r="S5" s="8">
        <f t="shared" ca="1" si="6"/>
        <v>45469.57169409722</v>
      </c>
      <c r="W5">
        <f>LOOKUP(Z5,'1.BANKEX'!$AA$2:$AA$22,'1.BANKEX'!$L$2:$L$22)</f>
        <v>5972206</v>
      </c>
      <c r="X5">
        <f>LOOKUP(Z5,'1.BANKEX'!$AA$2:$AA$22,'1.BANKEX'!$J$2:$J$22)</f>
        <v>18481</v>
      </c>
      <c r="Y5">
        <f>LOOKUP(Z5,'1.BANKEX'!$AA$2:$AA$22,'1.BANKEX'!$K$2:$K$22)</f>
        <v>16101</v>
      </c>
      <c r="Z5">
        <f t="shared" si="2"/>
        <v>54200</v>
      </c>
      <c r="AA5">
        <f>LOOKUP(Z5,'1.BANKEX'!$AA$2:$AA$22,'1.BANKEX'!$AQ$2:$AQ$22)</f>
        <v>46770</v>
      </c>
      <c r="AB5">
        <f>LOOKUP(Z5,'1.BANKEX'!$AA$2:$AA$22,'1.BANKEX'!$AR$2:$AR$22)</f>
        <v>48584</v>
      </c>
      <c r="AC5">
        <f>LOOKUP(Z5,'1.BANKEX'!$AA$2:$AA$22,'1.BANKEX'!$AP$2:$AP$22)</f>
        <v>4770610</v>
      </c>
      <c r="AD5" s="8">
        <f t="shared" ca="1" si="7"/>
        <v>45469.571693981481</v>
      </c>
      <c r="AH5">
        <f>LOOKUP(AK5,'1.SENSEX'!$AA$2:$AA$22,'1.SENSEX'!$L$2:$L$22)</f>
        <v>81770</v>
      </c>
      <c r="AI5">
        <f>LOOKUP(AK5,'1.SENSEX'!$AA$2:$AA$22,'1.SENSEX'!$J$2:$J$22)</f>
        <v>5099</v>
      </c>
      <c r="AJ5">
        <f>LOOKUP(AK5,'1.SENSEX'!$AA$2:$AA$22,'1.SENSEX'!$K$2:$K$22)</f>
        <v>0</v>
      </c>
      <c r="AK5">
        <f t="shared" si="3"/>
        <v>72500</v>
      </c>
      <c r="AL5">
        <f>LOOKUP(AK5,'1.SENSEX'!$AA$2:$AA$22,'1.SENSEX'!$AQ$2:$AQ$22)</f>
        <v>0</v>
      </c>
      <c r="AM5">
        <f>LOOKUP(AK5,'1.SENSEX'!$AA$2:$AA$22,'1.SENSEX'!$AR$2:$AR$22)</f>
        <v>5228</v>
      </c>
      <c r="AN5">
        <f>LOOKUP(AK5,'1.SENSEX'!$AA$2:$AA$22,'1.SENSEX'!$AP$2:$AP$22)</f>
        <v>70191</v>
      </c>
      <c r="AO5" s="8">
        <f t="shared" ca="1" si="8"/>
        <v>45469.571693981481</v>
      </c>
      <c r="AS5">
        <f>LOOKUP(AV5,'1.FINNIFTY'!$AA$2:$AA$22,'1.FINNIFTY'!$L$2:$L$22)</f>
        <v>1130516</v>
      </c>
      <c r="AT5">
        <f>LOOKUP(AV5,'1.FINNIFTY'!$AA$2:$AA$22,'1.FINNIFTY'!$J$2:$J$22)</f>
        <v>10821</v>
      </c>
      <c r="AU5">
        <f>LOOKUP(AV5,'1.FINNIFTY'!$AA$2:$AA$22,'1.FINNIFTY'!$K$2:$K$22)</f>
        <v>0</v>
      </c>
      <c r="AV5">
        <f t="shared" si="4"/>
        <v>21100</v>
      </c>
      <c r="AW5">
        <f>LOOKUP(AV5,'1.FINNIFTY'!$AA$2:$AA$22,'1.FINNIFTY'!$AQ$2:$AQ$22)</f>
        <v>0</v>
      </c>
      <c r="AX5">
        <f>LOOKUP(AV5,'1.FINNIFTY'!$AA$2:$AA$22,'1.FINNIFTY'!$AR$2:$AR$22)</f>
        <v>36057</v>
      </c>
      <c r="AY5">
        <f>LOOKUP(AV5,'1.FINNIFTY'!$AA$2:$AA$22,'1.FINNIFTY'!$AP$2:$AP$22)</f>
        <v>1046422</v>
      </c>
      <c r="AZ5" s="8">
        <f t="shared" ca="1" si="9"/>
        <v>45469.571693981481</v>
      </c>
    </row>
    <row r="6" spans="1:54" x14ac:dyDescent="0.25">
      <c r="A6">
        <f>LOOKUP($D6,NIFTY!$S$5:$S$45,NIFTY!$R$5:$R$45)</f>
        <v>71095500</v>
      </c>
      <c r="B6">
        <f>LOOKUP($D6,NIFTY!$S$5:$S$45,NIFTY!$N$5:$N$45)</f>
        <v>2026800</v>
      </c>
      <c r="C6">
        <f>LOOKUP($D6,NIFTY!$S$5:$S$45,NIFTY!$O$5:$O$45)</f>
        <v>118050</v>
      </c>
      <c r="D6">
        <f t="shared" si="0"/>
        <v>23750</v>
      </c>
      <c r="E6">
        <f>LOOKUP($D6,NIFTY!$S$5:$S$45,NIFTY!$AB$5:$AB$45)</f>
        <v>2281625</v>
      </c>
      <c r="F6">
        <f>LOOKUP($D6,NIFTY!$S$5:$S$45,NIFTY!$AA$5:$AA$45)</f>
        <v>3428025</v>
      </c>
      <c r="G6">
        <f>LOOKUP($D6,NIFTY!$S$5:$S$45,NIFTY!$AE$5:$AE$45)</f>
        <v>52747125</v>
      </c>
      <c r="H6" s="8">
        <f t="shared" ca="1" si="5"/>
        <v>45469.57169409722</v>
      </c>
      <c r="L6">
        <f>LOOKUP($O6,N_BANK!$S$5:$S$45,N_BANK!$R$5:$R$45)</f>
        <v>140650095</v>
      </c>
      <c r="M6">
        <f>LOOKUP($O6,N_BANK!$S$5:$S$45,N_BANK!$N$5:$N$45)</f>
        <v>2257455</v>
      </c>
      <c r="N6">
        <f>LOOKUP($O6,N_BANK!$S$5:$S$45,N_BANK!$O$5:$O$45)</f>
        <v>946855</v>
      </c>
      <c r="O6">
        <f t="shared" si="1"/>
        <v>52700</v>
      </c>
      <c r="P6">
        <f>LOOKUP($O6,N_BANK!$S$5:$S$45,N_BANK!$AA$5:$AA$45)</f>
        <v>5202285</v>
      </c>
      <c r="Q6">
        <f>LOOKUP($O6,N_BANK!$S$5:$S$45,N_BANK!$AB$5:$AB$45)</f>
        <v>4644525</v>
      </c>
      <c r="R6">
        <f>LOOKUP($O6,N_BANK!$S$5:$S$45,N_BANK!$AE$5:$AE$45)</f>
        <v>132985290</v>
      </c>
      <c r="S6" s="8">
        <f t="shared" ca="1" si="6"/>
        <v>45469.57169409722</v>
      </c>
      <c r="W6">
        <f>LOOKUP(Z6,'1.BANKEX'!$AA$2:$AA$22,'1.BANKEX'!$L$2:$L$22)</f>
        <v>5733662</v>
      </c>
      <c r="X6">
        <f>LOOKUP(Z6,'1.BANKEX'!$AA$2:$AA$22,'1.BANKEX'!$J$2:$J$22)</f>
        <v>11126</v>
      </c>
      <c r="Y6">
        <f>LOOKUP(Z6,'1.BANKEX'!$AA$2:$AA$22,'1.BANKEX'!$K$2:$K$22)</f>
        <v>9527</v>
      </c>
      <c r="Z6">
        <f t="shared" si="2"/>
        <v>54300</v>
      </c>
      <c r="AA6">
        <f>LOOKUP(Z6,'1.BANKEX'!$AA$2:$AA$22,'1.BANKEX'!$AQ$2:$AQ$22)</f>
        <v>62936</v>
      </c>
      <c r="AB6">
        <f>LOOKUP(Z6,'1.BANKEX'!$AA$2:$AA$22,'1.BANKEX'!$AR$2:$AR$22)</f>
        <v>63859</v>
      </c>
      <c r="AC6">
        <f>LOOKUP(Z6,'1.BANKEX'!$AA$2:$AA$22,'1.BANKEX'!$AP$2:$AP$22)</f>
        <v>5145887</v>
      </c>
      <c r="AD6" s="8">
        <f t="shared" ca="1" si="7"/>
        <v>45469.571693981481</v>
      </c>
      <c r="AH6">
        <f>LOOKUP(AK6,'1.SENSEX'!$AA$2:$AA$22,'1.SENSEX'!$L$2:$L$22)</f>
        <v>35638</v>
      </c>
      <c r="AI6">
        <f>LOOKUP(AK6,'1.SENSEX'!$AA$2:$AA$22,'1.SENSEX'!$J$2:$J$22)</f>
        <v>952</v>
      </c>
      <c r="AJ6">
        <f>LOOKUP(AK6,'1.SENSEX'!$AA$2:$AA$22,'1.SENSEX'!$K$2:$K$22)</f>
        <v>0</v>
      </c>
      <c r="AK6">
        <f t="shared" si="3"/>
        <v>72600</v>
      </c>
      <c r="AL6">
        <f>LOOKUP(AK6,'1.SENSEX'!$AA$2:$AA$22,'1.SENSEX'!$AQ$2:$AQ$22)</f>
        <v>0</v>
      </c>
      <c r="AM6">
        <f>LOOKUP(AK6,'1.SENSEX'!$AA$2:$AA$22,'1.SENSEX'!$AR$2:$AR$22)</f>
        <v>1088</v>
      </c>
      <c r="AN6">
        <f>LOOKUP(AK6,'1.SENSEX'!$AA$2:$AA$22,'1.SENSEX'!$AP$2:$AP$22)</f>
        <v>29928</v>
      </c>
      <c r="AO6" s="8">
        <f t="shared" ca="1" si="8"/>
        <v>45469.571693981481</v>
      </c>
      <c r="AS6">
        <f>LOOKUP(AV6,'1.FINNIFTY'!$AA$2:$AA$22,'1.FINNIFTY'!$L$2:$L$22)</f>
        <v>897503</v>
      </c>
      <c r="AT6">
        <f>LOOKUP(AV6,'1.FINNIFTY'!$AA$2:$AA$22,'1.FINNIFTY'!$J$2:$J$22)</f>
        <v>5445</v>
      </c>
      <c r="AU6">
        <f>LOOKUP(AV6,'1.FINNIFTY'!$AA$2:$AA$22,'1.FINNIFTY'!$K$2:$K$22)</f>
        <v>0</v>
      </c>
      <c r="AV6">
        <f t="shared" si="4"/>
        <v>21150</v>
      </c>
      <c r="AW6">
        <f>LOOKUP(AV6,'1.FINNIFTY'!$AA$2:$AA$22,'1.FINNIFTY'!$AQ$2:$AQ$22)</f>
        <v>0</v>
      </c>
      <c r="AX6">
        <f>LOOKUP(AV6,'1.FINNIFTY'!$AA$2:$AA$22,'1.FINNIFTY'!$AR$2:$AR$22)</f>
        <v>18626</v>
      </c>
      <c r="AY6">
        <f>LOOKUP(AV6,'1.FINNIFTY'!$AA$2:$AA$22,'1.FINNIFTY'!$AP$2:$AP$22)</f>
        <v>572350</v>
      </c>
      <c r="AZ6" s="8">
        <f t="shared" ca="1" si="9"/>
        <v>45469.571693981481</v>
      </c>
    </row>
    <row r="7" spans="1:54" x14ac:dyDescent="0.25">
      <c r="A7">
        <f>LOOKUP($D7,NIFTY!$S$5:$S$45,NIFTY!$R$5:$R$45)</f>
        <v>120118200</v>
      </c>
      <c r="B7">
        <f>LOOKUP($D7,NIFTY!$S$5:$S$45,NIFTY!$N$5:$N$45)</f>
        <v>5697350</v>
      </c>
      <c r="C7">
        <f>LOOKUP($D7,NIFTY!$S$5:$S$45,NIFTY!$O$5:$O$45)</f>
        <v>1547630</v>
      </c>
      <c r="D7">
        <f>D8-$E$1</f>
        <v>23800</v>
      </c>
      <c r="E7">
        <f>LOOKUP($D7,NIFTY!$S$5:$S$45,NIFTY!$AB$5:$AB$45)</f>
        <v>6689225</v>
      </c>
      <c r="F7">
        <f>LOOKUP($D7,NIFTY!$S$5:$S$45,NIFTY!$AA$5:$AA$45)</f>
        <v>7826375</v>
      </c>
      <c r="G7">
        <f>LOOKUP($D7,NIFTY!$S$5:$S$45,NIFTY!$AE$5:$AE$45)</f>
        <v>79023275</v>
      </c>
      <c r="H7" s="8">
        <f t="shared" ca="1" si="5"/>
        <v>45469.57169409722</v>
      </c>
      <c r="L7">
        <f>LOOKUP($O7,N_BANK!$S$5:$S$45,N_BANK!$R$5:$R$45)</f>
        <v>169932465</v>
      </c>
      <c r="M7">
        <f>LOOKUP($O7,N_BANK!$S$5:$S$45,N_BANK!$N$5:$N$45)</f>
        <v>3252570</v>
      </c>
      <c r="N7">
        <f>LOOKUP($O7,N_BANK!$S$5:$S$45,N_BANK!$O$5:$O$45)</f>
        <v>2182680</v>
      </c>
      <c r="O7">
        <f>O8-$P$1</f>
        <v>52800</v>
      </c>
      <c r="P7">
        <f>LOOKUP($O7,N_BANK!$S$5:$S$45,N_BANK!$AA$5:$AA$45)</f>
        <v>5313705</v>
      </c>
      <c r="Q7">
        <f>LOOKUP($O7,N_BANK!$S$5:$S$45,N_BANK!$AB$5:$AB$45)</f>
        <v>5038050</v>
      </c>
      <c r="R7">
        <f>LOOKUP($O7,N_BANK!$S$5:$S$45,N_BANK!$AE$5:$AE$45)</f>
        <v>130461390</v>
      </c>
      <c r="S7" s="8">
        <f t="shared" ca="1" si="6"/>
        <v>45469.57169409722</v>
      </c>
      <c r="W7">
        <f>LOOKUP(Z7,'1.BANKEX'!$AA$2:$AA$22,'1.BANKEX'!$L$2:$L$22)</f>
        <v>8206272</v>
      </c>
      <c r="X7">
        <f>LOOKUP(Z7,'1.BANKEX'!$AA$2:$AA$22,'1.BANKEX'!$J$2:$J$22)</f>
        <v>45743</v>
      </c>
      <c r="Y7">
        <f>LOOKUP(Z7,'1.BANKEX'!$AA$2:$AA$22,'1.BANKEX'!$K$2:$K$22)</f>
        <v>43537</v>
      </c>
      <c r="Z7">
        <f>Z8-$AA$1</f>
        <v>54400</v>
      </c>
      <c r="AA7">
        <f>LOOKUP(Z7,'1.BANKEX'!$AA$2:$AA$22,'1.BANKEX'!$AQ$2:$AQ$22)</f>
        <v>90658</v>
      </c>
      <c r="AB7">
        <f>LOOKUP(Z7,'1.BANKEX'!$AA$2:$AA$22,'1.BANKEX'!$AR$2:$AR$22)</f>
        <v>91071</v>
      </c>
      <c r="AC7">
        <f>LOOKUP(Z7,'1.BANKEX'!$AA$2:$AA$22,'1.BANKEX'!$AP$2:$AP$22)</f>
        <v>7878572</v>
      </c>
      <c r="AD7" s="8">
        <f t="shared" ca="1" si="7"/>
        <v>45469.571693981481</v>
      </c>
      <c r="AH7">
        <f>LOOKUP(AK7,'1.SENSEX'!$AA$2:$AA$22,'1.SENSEX'!$L$2:$L$22)</f>
        <v>36476</v>
      </c>
      <c r="AI7">
        <f>LOOKUP(AK7,'1.SENSEX'!$AA$2:$AA$22,'1.SENSEX'!$J$2:$J$22)</f>
        <v>982</v>
      </c>
      <c r="AJ7">
        <f>LOOKUP(AK7,'1.SENSEX'!$AA$2:$AA$22,'1.SENSEX'!$K$2:$K$22)</f>
        <v>0</v>
      </c>
      <c r="AK7">
        <f>AK8-$AL$1</f>
        <v>72700</v>
      </c>
      <c r="AL7">
        <f>LOOKUP(AK7,'1.SENSEX'!$AA$2:$AA$22,'1.SENSEX'!$AQ$2:$AQ$22)</f>
        <v>0</v>
      </c>
      <c r="AM7">
        <f>LOOKUP(AK7,'1.SENSEX'!$AA$2:$AA$22,'1.SENSEX'!$AR$2:$AR$22)</f>
        <v>962</v>
      </c>
      <c r="AN7">
        <f>LOOKUP(AK7,'1.SENSEX'!$AA$2:$AA$22,'1.SENSEX'!$AP$2:$AP$22)</f>
        <v>20835</v>
      </c>
      <c r="AO7" s="8">
        <f t="shared" ca="1" si="8"/>
        <v>45469.571693981481</v>
      </c>
      <c r="AS7">
        <f>LOOKUP(AV7,'1.FINNIFTY'!$AA$2:$AA$22,'1.FINNIFTY'!$L$2:$L$22)</f>
        <v>1359821</v>
      </c>
      <c r="AT7">
        <f>LOOKUP(AV7,'1.FINNIFTY'!$AA$2:$AA$22,'1.FINNIFTY'!$J$2:$J$22)</f>
        <v>24831</v>
      </c>
      <c r="AU7">
        <f>LOOKUP(AV7,'1.FINNIFTY'!$AA$2:$AA$22,'1.FINNIFTY'!$K$2:$K$22)</f>
        <v>0</v>
      </c>
      <c r="AV7">
        <f>AV8-$AW$1</f>
        <v>21200</v>
      </c>
      <c r="AW7">
        <f>LOOKUP(AV7,'1.FINNIFTY'!$AA$2:$AA$22,'1.FINNIFTY'!$AQ$2:$AQ$22)</f>
        <v>0</v>
      </c>
      <c r="AX7">
        <f>LOOKUP(AV7,'1.FINNIFTY'!$AA$2:$AA$22,'1.FINNIFTY'!$AR$2:$AR$22)</f>
        <v>44465</v>
      </c>
      <c r="AY7">
        <f>LOOKUP(AV7,'1.FINNIFTY'!$AA$2:$AA$22,'1.FINNIFTY'!$AP$2:$AP$22)</f>
        <v>656799</v>
      </c>
      <c r="AZ7" s="8">
        <f t="shared" ca="1" si="9"/>
        <v>45469.571693981481</v>
      </c>
    </row>
    <row r="8" spans="1:54" x14ac:dyDescent="0.25">
      <c r="A8">
        <f>LOOKUP($D8,NIFTY!$S$5:$S$45,NIFTY!$R$5:$R$45)</f>
        <v>78867900</v>
      </c>
      <c r="B8">
        <f>LOOKUP($D8,NIFTY!$S$5:$S$45,NIFTY!$N$5:$N$45)</f>
        <v>4069775</v>
      </c>
      <c r="C8">
        <f>LOOKUP($D8,NIFTY!$S$5:$S$45,NIFTY!$O$5:$O$45)</f>
        <v>2105795</v>
      </c>
      <c r="D8" s="3">
        <f>MROUND($D$1,$E$1)</f>
        <v>23850</v>
      </c>
      <c r="E8">
        <f>LOOKUP($D8,NIFTY!$S$5:$S$45,NIFTY!$AB$5:$AB$45)</f>
        <v>3695225</v>
      </c>
      <c r="F8">
        <f>LOOKUP($D8,NIFTY!$S$5:$S$45,NIFTY!$AA$5:$AA$45)</f>
        <v>4006775</v>
      </c>
      <c r="G8">
        <f>LOOKUP($D8,NIFTY!$S$5:$S$45,NIFTY!$AE$5:$AE$45)</f>
        <v>34548850</v>
      </c>
      <c r="H8" s="8">
        <f t="shared" ca="1" si="5"/>
        <v>45469.57169409722</v>
      </c>
      <c r="L8">
        <f>LOOKUP($O8,N_BANK!$S$5:$S$45,N_BANK!$R$5:$R$45)</f>
        <v>180663360</v>
      </c>
      <c r="M8">
        <f>LOOKUP($O8,N_BANK!$S$5:$S$45,N_BANK!$N$5:$N$45)</f>
        <v>5157690</v>
      </c>
      <c r="N8">
        <f>LOOKUP($O8,N_BANK!$S$5:$S$45,N_BANK!$O$5:$O$45)</f>
        <v>4574430</v>
      </c>
      <c r="O8" s="3">
        <f>MROUND($O$1,$P$1)</f>
        <v>52900</v>
      </c>
      <c r="P8">
        <f>LOOKUP($O8,N_BANK!$S$5:$S$45,N_BANK!$AA$5:$AA$45)</f>
        <v>5628525</v>
      </c>
      <c r="Q8">
        <f>LOOKUP($O8,N_BANK!$S$5:$S$45,N_BANK!$AB$5:$AB$45)</f>
        <v>5503890</v>
      </c>
      <c r="R8">
        <f>LOOKUP($O8,N_BANK!$S$5:$S$45,N_BANK!$AE$5:$AE$45)</f>
        <v>91073415</v>
      </c>
      <c r="S8" s="8">
        <f t="shared" ca="1" si="6"/>
        <v>45469.57169409722</v>
      </c>
      <c r="W8">
        <f>LOOKUP(Z8,'1.BANKEX'!$AA$2:$AA$22,'1.BANKEX'!$L$2:$L$22)</f>
        <v>15517820</v>
      </c>
      <c r="X8">
        <f>LOOKUP(Z8,'1.BANKEX'!$AA$2:$AA$22,'1.BANKEX'!$J$2:$J$22)</f>
        <v>113682</v>
      </c>
      <c r="Y8">
        <f>LOOKUP(Z8,'1.BANKEX'!$AA$2:$AA$22,'1.BANKEX'!$K$2:$K$22)</f>
        <v>107099</v>
      </c>
      <c r="Z8">
        <f>MROUND($Z$1,$AA$1)</f>
        <v>54500</v>
      </c>
      <c r="AA8">
        <f>LOOKUP(Z8,'1.BANKEX'!$AA$2:$AA$22,'1.BANKEX'!$AQ$2:$AQ$22)</f>
        <v>63983</v>
      </c>
      <c r="AB8">
        <f>LOOKUP(Z8,'1.BANKEX'!$AA$2:$AA$22,'1.BANKEX'!$AR$2:$AR$22)</f>
        <v>65915</v>
      </c>
      <c r="AC8">
        <f>LOOKUP(Z8,'1.BANKEX'!$AA$2:$AA$22,'1.BANKEX'!$AP$2:$AP$22)</f>
        <v>5241656</v>
      </c>
      <c r="AD8" s="8">
        <f t="shared" ca="1" si="7"/>
        <v>45469.571693981481</v>
      </c>
      <c r="AH8">
        <f>LOOKUP(AK8,'1.SENSEX'!$AA$2:$AA$22,'1.SENSEX'!$L$2:$L$22)</f>
        <v>38861</v>
      </c>
      <c r="AI8">
        <f>LOOKUP(AK8,'1.SENSEX'!$AA$2:$AA$22,'1.SENSEX'!$J$2:$J$22)</f>
        <v>1180</v>
      </c>
      <c r="AJ8">
        <f>LOOKUP(AK8,'1.SENSEX'!$AA$2:$AA$22,'1.SENSEX'!$K$2:$K$22)</f>
        <v>0</v>
      </c>
      <c r="AK8">
        <f>MROUND($AK$1,$AL$1)</f>
        <v>72800</v>
      </c>
      <c r="AL8">
        <f>LOOKUP(AK8,'1.SENSEX'!$AA$2:$AA$22,'1.SENSEX'!$AQ$2:$AQ$22)</f>
        <v>0</v>
      </c>
      <c r="AM8">
        <f>LOOKUP(AK8,'1.SENSEX'!$AA$2:$AA$22,'1.SENSEX'!$AR$2:$AR$22)</f>
        <v>1060</v>
      </c>
      <c r="AN8">
        <f>LOOKUP(AK8,'1.SENSEX'!$AA$2:$AA$22,'1.SENSEX'!$AP$2:$AP$22)</f>
        <v>16415</v>
      </c>
      <c r="AO8" s="8">
        <f t="shared" ca="1" si="8"/>
        <v>45469.571693981481</v>
      </c>
      <c r="AS8">
        <f>LOOKUP(AV8,'1.FINNIFTY'!$AA$2:$AA$22,'1.FINNIFTY'!$L$2:$L$22)</f>
        <v>1156066</v>
      </c>
      <c r="AT8">
        <f>LOOKUP(AV8,'1.FINNIFTY'!$AA$2:$AA$22,'1.FINNIFTY'!$J$2:$J$22)</f>
        <v>20626</v>
      </c>
      <c r="AU8">
        <f>LOOKUP(AV8,'1.FINNIFTY'!$AA$2:$AA$22,'1.FINNIFTY'!$K$2:$K$22)</f>
        <v>0</v>
      </c>
      <c r="AV8">
        <f>MROUND($AV$1,$AW$1)</f>
        <v>21250</v>
      </c>
      <c r="AW8">
        <f>LOOKUP(AV8,'1.FINNIFTY'!$AA$2:$AA$22,'1.FINNIFTY'!$AQ$2:$AQ$22)</f>
        <v>0</v>
      </c>
      <c r="AX8">
        <f>LOOKUP(AV8,'1.FINNIFTY'!$AA$2:$AA$22,'1.FINNIFTY'!$AR$2:$AR$22)</f>
        <v>25211</v>
      </c>
      <c r="AY8">
        <f>LOOKUP(AV8,'1.FINNIFTY'!$AA$2:$AA$22,'1.FINNIFTY'!$AP$2:$AP$22)</f>
        <v>411293</v>
      </c>
      <c r="AZ8" s="8">
        <f t="shared" ca="1" si="9"/>
        <v>45469.571693981481</v>
      </c>
    </row>
    <row r="9" spans="1:54" x14ac:dyDescent="0.25">
      <c r="A9">
        <f>LOOKUP($D9,NIFTY!$S$5:$S$45,NIFTY!$R$5:$R$45)</f>
        <v>85556850</v>
      </c>
      <c r="B9">
        <f>LOOKUP($D9,NIFTY!$S$5:$S$45,NIFTY!$N$5:$N$45)</f>
        <v>6581975</v>
      </c>
      <c r="C9">
        <f>LOOKUP($D9,NIFTY!$S$5:$S$45,NIFTY!$O$5:$O$45)</f>
        <v>2604325</v>
      </c>
      <c r="D9">
        <f>D8+$E$1</f>
        <v>23900</v>
      </c>
      <c r="E9">
        <f>LOOKUP($D9,NIFTY!$S$5:$S$45,NIFTY!$AB$5:$AB$45)</f>
        <v>1770300</v>
      </c>
      <c r="F9">
        <f>LOOKUP($D9,NIFTY!$S$5:$S$45,NIFTY!$AA$5:$AA$45)</f>
        <v>2135650</v>
      </c>
      <c r="G9">
        <f>LOOKUP($D9,NIFTY!$S$5:$S$45,NIFTY!$AE$5:$AE$45)</f>
        <v>22745225</v>
      </c>
      <c r="H9" s="8">
        <f t="shared" ca="1" si="5"/>
        <v>45469.57169409722</v>
      </c>
      <c r="L9">
        <f>LOOKUP($O9,N_BANK!$S$5:$S$45,N_BANK!$R$5:$R$45)</f>
        <v>281709390</v>
      </c>
      <c r="M9">
        <f>LOOKUP($O9,N_BANK!$S$5:$S$45,N_BANK!$N$5:$N$45)</f>
        <v>8001525</v>
      </c>
      <c r="N9">
        <f>LOOKUP($O9,N_BANK!$S$5:$S$45,N_BANK!$O$5:$O$45)</f>
        <v>5204125</v>
      </c>
      <c r="O9">
        <f>O8+$P$1</f>
        <v>53000</v>
      </c>
      <c r="P9">
        <f>LOOKUP($O9,N_BANK!$S$5:$S$45,N_BANK!$AA$5:$AA$45)</f>
        <v>2882895</v>
      </c>
      <c r="Q9">
        <f>LOOKUP($O9,N_BANK!$S$5:$S$45,N_BANK!$AB$5:$AB$45)</f>
        <v>2568975</v>
      </c>
      <c r="R9">
        <f>LOOKUP($O9,N_BANK!$S$5:$S$45,N_BANK!$AE$5:$AE$45)</f>
        <v>59092980</v>
      </c>
      <c r="S9" s="8">
        <f t="shared" ca="1" si="6"/>
        <v>45469.57169409722</v>
      </c>
      <c r="W9">
        <f>LOOKUP(Z9,'1.BANKEX'!$AA$2:$AA$22,'1.BANKEX'!$L$2:$L$22)</f>
        <v>10198846</v>
      </c>
      <c r="X9">
        <f>LOOKUP(Z9,'1.BANKEX'!$AA$2:$AA$22,'1.BANKEX'!$J$2:$J$22)</f>
        <v>74763</v>
      </c>
      <c r="Y9">
        <f>LOOKUP(Z9,'1.BANKEX'!$AA$2:$AA$22,'1.BANKEX'!$K$2:$K$22)</f>
        <v>69607</v>
      </c>
      <c r="Z9">
        <f>Z8+$AA$1</f>
        <v>54600</v>
      </c>
      <c r="AA9">
        <f>LOOKUP(Z9,'1.BANKEX'!$AA$2:$AA$22,'1.BANKEX'!$AQ$2:$AQ$22)</f>
        <v>15830</v>
      </c>
      <c r="AB9">
        <f>LOOKUP(Z9,'1.BANKEX'!$AA$2:$AA$22,'1.BANKEX'!$AR$2:$AR$22)</f>
        <v>16150</v>
      </c>
      <c r="AC9">
        <f>LOOKUP(Z9,'1.BANKEX'!$AA$2:$AA$22,'1.BANKEX'!$AP$2:$AP$22)</f>
        <v>849941</v>
      </c>
      <c r="AD9" s="8">
        <f t="shared" ca="1" si="7"/>
        <v>45469.571693981481</v>
      </c>
      <c r="AH9">
        <f>LOOKUP(AK9,'1.SENSEX'!$AA$2:$AA$22,'1.SENSEX'!$L$2:$L$22)</f>
        <v>30597</v>
      </c>
      <c r="AI9">
        <f>LOOKUP(AK9,'1.SENSEX'!$AA$2:$AA$22,'1.SENSEX'!$J$2:$J$22)</f>
        <v>1473</v>
      </c>
      <c r="AJ9">
        <f>LOOKUP(AK9,'1.SENSEX'!$AA$2:$AA$22,'1.SENSEX'!$K$2:$K$22)</f>
        <v>0</v>
      </c>
      <c r="AK9">
        <f>AK8+$AL$1</f>
        <v>72900</v>
      </c>
      <c r="AL9">
        <f>LOOKUP(AK9,'1.SENSEX'!$AA$2:$AA$22,'1.SENSEX'!$AQ$2:$AQ$22)</f>
        <v>0</v>
      </c>
      <c r="AM9">
        <f>LOOKUP(AK9,'1.SENSEX'!$AA$2:$AA$22,'1.SENSEX'!$AR$2:$AR$22)</f>
        <v>963</v>
      </c>
      <c r="AN9">
        <f>LOOKUP(AK9,'1.SENSEX'!$AA$2:$AA$22,'1.SENSEX'!$AP$2:$AP$22)</f>
        <v>9126</v>
      </c>
      <c r="AO9" s="8">
        <f t="shared" ca="1" si="8"/>
        <v>45469.571693981481</v>
      </c>
      <c r="AS9">
        <f>LOOKUP(AV9,'1.FINNIFTY'!$AA$2:$AA$22,'1.FINNIFTY'!$L$2:$L$22)</f>
        <v>1642312</v>
      </c>
      <c r="AT9">
        <f>LOOKUP(AV9,'1.FINNIFTY'!$AA$2:$AA$22,'1.FINNIFTY'!$J$2:$J$22)</f>
        <v>41827</v>
      </c>
      <c r="AU9">
        <f>LOOKUP(AV9,'1.FINNIFTY'!$AA$2:$AA$22,'1.FINNIFTY'!$K$2:$K$22)</f>
        <v>0</v>
      </c>
      <c r="AV9">
        <f>AV8+$AW$1</f>
        <v>21300</v>
      </c>
      <c r="AW9">
        <f>LOOKUP(AV9,'1.FINNIFTY'!$AA$2:$AA$22,'1.FINNIFTY'!$AQ$2:$AQ$22)</f>
        <v>0</v>
      </c>
      <c r="AX9">
        <f>LOOKUP(AV9,'1.FINNIFTY'!$AA$2:$AA$22,'1.FINNIFTY'!$AR$2:$AR$22)</f>
        <v>19580</v>
      </c>
      <c r="AY9">
        <f>LOOKUP(AV9,'1.FINNIFTY'!$AA$2:$AA$22,'1.FINNIFTY'!$AP$2:$AP$22)</f>
        <v>271089</v>
      </c>
      <c r="AZ9" s="8">
        <f t="shared" ca="1" si="9"/>
        <v>45469.571693981481</v>
      </c>
    </row>
    <row r="10" spans="1:54" x14ac:dyDescent="0.25">
      <c r="A10">
        <f>LOOKUP($D10,NIFTY!$S$5:$S$45,NIFTY!$R$5:$R$45)</f>
        <v>48613250</v>
      </c>
      <c r="B10">
        <f>LOOKUP($D10,NIFTY!$S$5:$S$45,NIFTY!$N$5:$N$45)</f>
        <v>2502200</v>
      </c>
      <c r="C10">
        <f>LOOKUP($D10,NIFTY!$S$5:$S$45,NIFTY!$O$5:$O$45)</f>
        <v>790320</v>
      </c>
      <c r="D10">
        <f t="shared" ref="D10:D13" si="10">D9+$E$1</f>
        <v>23950</v>
      </c>
      <c r="E10">
        <f>LOOKUP($D10,NIFTY!$S$5:$S$45,NIFTY!$AB$5:$AB$45)</f>
        <v>343175</v>
      </c>
      <c r="F10">
        <f>LOOKUP($D10,NIFTY!$S$5:$S$45,NIFTY!$AA$5:$AA$45)</f>
        <v>444000</v>
      </c>
      <c r="G10">
        <f>LOOKUP($D10,NIFTY!$S$5:$S$45,NIFTY!$AE$5:$AE$45)</f>
        <v>4571050</v>
      </c>
      <c r="H10" s="8">
        <f t="shared" ca="1" si="5"/>
        <v>45469.57169409722</v>
      </c>
      <c r="L10">
        <f>LOOKUP($O10,N_BANK!$S$5:$S$45,N_BANK!$R$5:$R$45)</f>
        <v>129941415</v>
      </c>
      <c r="M10">
        <f>LOOKUP($O10,N_BANK!$S$5:$S$45,N_BANK!$N$5:$N$45)</f>
        <v>3760800</v>
      </c>
      <c r="N10">
        <f>LOOKUP($O10,N_BANK!$S$5:$S$45,N_BANK!$O$5:$O$45)</f>
        <v>3035115</v>
      </c>
      <c r="O10">
        <f t="shared" ref="O10:O13" si="11">O9+$P$1</f>
        <v>53100</v>
      </c>
      <c r="P10">
        <f>LOOKUP($O10,N_BANK!$S$5:$S$45,N_BANK!$AA$5:$AA$45)</f>
        <v>538575</v>
      </c>
      <c r="Q10">
        <f>LOOKUP($O10,N_BANK!$S$5:$S$45,N_BANK!$AB$5:$AB$45)</f>
        <v>499350</v>
      </c>
      <c r="R10">
        <f>LOOKUP($O10,N_BANK!$S$5:$S$45,N_BANK!$AE$5:$AE$45)</f>
        <v>12367275</v>
      </c>
      <c r="S10" s="8">
        <f t="shared" ca="1" si="6"/>
        <v>45469.57169409722</v>
      </c>
      <c r="W10">
        <f>LOOKUP(Z10,'1.BANKEX'!$AA$2:$AA$22,'1.BANKEX'!$L$2:$L$22)</f>
        <v>6587967</v>
      </c>
      <c r="X10">
        <f>LOOKUP(Z10,'1.BANKEX'!$AA$2:$AA$22,'1.BANKEX'!$J$2:$J$22)</f>
        <v>48866</v>
      </c>
      <c r="Y10">
        <f>LOOKUP(Z10,'1.BANKEX'!$AA$2:$AA$22,'1.BANKEX'!$K$2:$K$22)</f>
        <v>40436</v>
      </c>
      <c r="Z10">
        <f t="shared" ref="Z10:Z13" si="12">Z9+$AA$1</f>
        <v>54700</v>
      </c>
      <c r="AA10">
        <f>LOOKUP(Z10,'1.BANKEX'!$AA$2:$AA$22,'1.BANKEX'!$AQ$2:$AQ$22)</f>
        <v>8586</v>
      </c>
      <c r="AB10">
        <f>LOOKUP(Z10,'1.BANKEX'!$AA$2:$AA$22,'1.BANKEX'!$AR$2:$AR$22)</f>
        <v>9094</v>
      </c>
      <c r="AC10">
        <f>LOOKUP(Z10,'1.BANKEX'!$AA$2:$AA$22,'1.BANKEX'!$AP$2:$AP$22)</f>
        <v>161122</v>
      </c>
      <c r="AD10" s="8">
        <f t="shared" ca="1" si="7"/>
        <v>45469.571693981481</v>
      </c>
      <c r="AH10">
        <f>LOOKUP(AK10,'1.SENSEX'!$AA$2:$AA$22,'1.SENSEX'!$L$2:$L$22)</f>
        <v>90739</v>
      </c>
      <c r="AI10">
        <f>LOOKUP(AK10,'1.SENSEX'!$AA$2:$AA$22,'1.SENSEX'!$J$2:$J$22)</f>
        <v>5617</v>
      </c>
      <c r="AJ10">
        <f>LOOKUP(AK10,'1.SENSEX'!$AA$2:$AA$22,'1.SENSEX'!$K$2:$K$22)</f>
        <v>0</v>
      </c>
      <c r="AK10">
        <f t="shared" ref="AK10:AK13" si="13">AK9+$AL$1</f>
        <v>73000</v>
      </c>
      <c r="AL10">
        <f>LOOKUP(AK10,'1.SENSEX'!$AA$2:$AA$22,'1.SENSEX'!$AQ$2:$AQ$22)</f>
        <v>0</v>
      </c>
      <c r="AM10">
        <f>LOOKUP(AK10,'1.SENSEX'!$AA$2:$AA$22,'1.SENSEX'!$AR$2:$AR$22)</f>
        <v>4038</v>
      </c>
      <c r="AN10">
        <f>LOOKUP(AK10,'1.SENSEX'!$AA$2:$AA$22,'1.SENSEX'!$AP$2:$AP$22)</f>
        <v>19901</v>
      </c>
      <c r="AO10" s="8">
        <f t="shared" ca="1" si="8"/>
        <v>45469.571693981481</v>
      </c>
      <c r="AS10">
        <f>LOOKUP(AV10,'1.FINNIFTY'!$AA$2:$AA$22,'1.FINNIFTY'!$L$2:$L$22)</f>
        <v>1048292</v>
      </c>
      <c r="AT10">
        <f>LOOKUP(AV10,'1.FINNIFTY'!$AA$2:$AA$22,'1.FINNIFTY'!$J$2:$J$22)</f>
        <v>27477</v>
      </c>
      <c r="AU10">
        <f>LOOKUP(AV10,'1.FINNIFTY'!$AA$2:$AA$22,'1.FINNIFTY'!$K$2:$K$22)</f>
        <v>0</v>
      </c>
      <c r="AV10">
        <f t="shared" ref="AV10:AV13" si="14">AV9+$AW$1</f>
        <v>21350</v>
      </c>
      <c r="AW10">
        <f>LOOKUP(AV10,'1.FINNIFTY'!$AA$2:$AA$22,'1.FINNIFTY'!$AQ$2:$AQ$22)</f>
        <v>0</v>
      </c>
      <c r="AX10">
        <f>LOOKUP(AV10,'1.FINNIFTY'!$AA$2:$AA$22,'1.FINNIFTY'!$AR$2:$AR$22)</f>
        <v>5009</v>
      </c>
      <c r="AY10">
        <f>LOOKUP(AV10,'1.FINNIFTY'!$AA$2:$AA$22,'1.FINNIFTY'!$AP$2:$AP$22)</f>
        <v>45782</v>
      </c>
      <c r="AZ10" s="8">
        <f t="shared" ca="1" si="9"/>
        <v>45469.571693981481</v>
      </c>
    </row>
    <row r="11" spans="1:54" x14ac:dyDescent="0.25">
      <c r="A11">
        <f>LOOKUP($D11,NIFTY!$S$5:$S$45,NIFTY!$R$5:$R$45)</f>
        <v>118700800</v>
      </c>
      <c r="B11">
        <f>LOOKUP($D11,NIFTY!$S$5:$S$45,NIFTY!$N$5:$N$45)</f>
        <v>12262175</v>
      </c>
      <c r="C11">
        <f>LOOKUP($D11,NIFTY!$S$5:$S$45,NIFTY!$O$5:$O$45)</f>
        <v>1532175</v>
      </c>
      <c r="D11">
        <f>D10+$E$1</f>
        <v>24000</v>
      </c>
      <c r="E11">
        <f>LOOKUP($D11,NIFTY!$S$5:$S$45,NIFTY!$AB$5:$AB$45)</f>
        <v>857300</v>
      </c>
      <c r="F11">
        <f>LOOKUP($D11,NIFTY!$S$5:$S$45,NIFTY!$AA$5:$AA$45)</f>
        <v>2270800</v>
      </c>
      <c r="G11">
        <f>LOOKUP($D11,NIFTY!$S$5:$S$45,NIFTY!$AE$5:$AE$45)</f>
        <v>9528250</v>
      </c>
      <c r="H11" s="8">
        <f t="shared" ca="1" si="5"/>
        <v>45469.57169409722</v>
      </c>
      <c r="L11">
        <f>LOOKUP($O11,N_BANK!$S$5:$S$45,N_BANK!$R$5:$R$45)</f>
        <v>135682935</v>
      </c>
      <c r="M11">
        <f>LOOKUP($O11,N_BANK!$S$5:$S$45,N_BANK!$N$5:$N$45)</f>
        <v>4136220</v>
      </c>
      <c r="N11">
        <f>LOOKUP($O11,N_BANK!$S$5:$S$45,N_BANK!$O$5:$O$45)</f>
        <v>2976620</v>
      </c>
      <c r="O11">
        <f t="shared" si="11"/>
        <v>53200</v>
      </c>
      <c r="P11">
        <f>LOOKUP($O11,N_BANK!$S$5:$S$45,N_BANK!$AA$5:$AA$45)</f>
        <v>308730</v>
      </c>
      <c r="Q11">
        <f>LOOKUP($O11,N_BANK!$S$5:$S$45,N_BANK!$AB$5:$AB$45)</f>
        <v>288510</v>
      </c>
      <c r="R11">
        <f>LOOKUP($O11,N_BANK!$S$5:$S$45,N_BANK!$AE$5:$AE$45)</f>
        <v>7010310</v>
      </c>
      <c r="S11" s="8">
        <f t="shared" ca="1" si="6"/>
        <v>45469.57169409722</v>
      </c>
      <c r="W11">
        <f>LOOKUP(Z11,'1.BANKEX'!$AA$2:$AA$22,'1.BANKEX'!$L$2:$L$22)</f>
        <v>5905428</v>
      </c>
      <c r="X11">
        <f>LOOKUP(Z11,'1.BANKEX'!$AA$2:$AA$22,'1.BANKEX'!$J$2:$J$22)</f>
        <v>30730</v>
      </c>
      <c r="Y11">
        <f>LOOKUP(Z11,'1.BANKEX'!$AA$2:$AA$22,'1.BANKEX'!$K$2:$K$22)</f>
        <v>0</v>
      </c>
      <c r="Z11">
        <f t="shared" si="12"/>
        <v>54800</v>
      </c>
      <c r="AA11">
        <f>LOOKUP(Z11,'1.BANKEX'!$AA$2:$AA$22,'1.BANKEX'!$AQ$2:$AQ$22)</f>
        <v>0</v>
      </c>
      <c r="AB11">
        <f>LOOKUP(Z11,'1.BANKEX'!$AA$2:$AA$22,'1.BANKEX'!$AR$2:$AR$22)</f>
        <v>2231</v>
      </c>
      <c r="AC11">
        <f>LOOKUP(Z11,'1.BANKEX'!$AA$2:$AA$22,'1.BANKEX'!$AP$2:$AP$22)</f>
        <v>41680</v>
      </c>
      <c r="AD11" s="8">
        <f t="shared" ca="1" si="7"/>
        <v>45469.571693981481</v>
      </c>
      <c r="AH11">
        <f>LOOKUP(AK11,'1.SENSEX'!$AA$2:$AA$22,'1.SENSEX'!$L$2:$L$22)</f>
        <v>13857</v>
      </c>
      <c r="AI11">
        <f>LOOKUP(AK11,'1.SENSEX'!$AA$2:$AA$22,'1.SENSEX'!$J$2:$J$22)</f>
        <v>904</v>
      </c>
      <c r="AJ11">
        <f>LOOKUP(AK11,'1.SENSEX'!$AA$2:$AA$22,'1.SENSEX'!$K$2:$K$22)</f>
        <v>0</v>
      </c>
      <c r="AK11">
        <f t="shared" si="13"/>
        <v>73100</v>
      </c>
      <c r="AL11">
        <f>LOOKUP(AK11,'1.SENSEX'!$AA$2:$AA$22,'1.SENSEX'!$AQ$2:$AQ$22)</f>
        <v>0</v>
      </c>
      <c r="AM11">
        <f>LOOKUP(AK11,'1.SENSEX'!$AA$2:$AA$22,'1.SENSEX'!$AR$2:$AR$22)</f>
        <v>208</v>
      </c>
      <c r="AN11">
        <f>LOOKUP(AK11,'1.SENSEX'!$AA$2:$AA$22,'1.SENSEX'!$AP$2:$AP$22)</f>
        <v>840</v>
      </c>
      <c r="AO11" s="8">
        <f t="shared" ca="1" si="8"/>
        <v>45469.571693981481</v>
      </c>
      <c r="AS11">
        <f>LOOKUP(AV11,'1.FINNIFTY'!$AA$2:$AA$22,'1.FINNIFTY'!$L$2:$L$22)</f>
        <v>1306193</v>
      </c>
      <c r="AT11">
        <f>LOOKUP(AV11,'1.FINNIFTY'!$AA$2:$AA$22,'1.FINNIFTY'!$J$2:$J$22)</f>
        <v>45467</v>
      </c>
      <c r="AU11">
        <f>LOOKUP(AV11,'1.FINNIFTY'!$AA$2:$AA$22,'1.FINNIFTY'!$K$2:$K$22)</f>
        <v>0</v>
      </c>
      <c r="AV11">
        <f t="shared" si="14"/>
        <v>21400</v>
      </c>
      <c r="AW11">
        <f>LOOKUP(AV11,'1.FINNIFTY'!$AA$2:$AA$22,'1.FINNIFTY'!$AQ$2:$AQ$22)</f>
        <v>0</v>
      </c>
      <c r="AX11">
        <f>LOOKUP(AV11,'1.FINNIFTY'!$AA$2:$AA$22,'1.FINNIFTY'!$AR$2:$AR$22)</f>
        <v>4578</v>
      </c>
      <c r="AY11">
        <f>LOOKUP(AV11,'1.FINNIFTY'!$AA$2:$AA$22,'1.FINNIFTY'!$AP$2:$AP$22)</f>
        <v>34108</v>
      </c>
      <c r="AZ11" s="8">
        <f t="shared" ca="1" si="9"/>
        <v>45469.571693981481</v>
      </c>
    </row>
    <row r="12" spans="1:54" x14ac:dyDescent="0.25">
      <c r="A12">
        <f>LOOKUP($D12,NIFTY!$S$5:$S$45,NIFTY!$R$5:$R$45)</f>
        <v>50625350</v>
      </c>
      <c r="B12">
        <f>LOOKUP($D12,NIFTY!$S$5:$S$45,NIFTY!$N$5:$N$45)</f>
        <v>4340875</v>
      </c>
      <c r="C12">
        <f>LOOKUP($D12,NIFTY!$S$5:$S$45,NIFTY!$O$5:$O$45)</f>
        <v>1634425</v>
      </c>
      <c r="D12">
        <f t="shared" si="10"/>
        <v>24050</v>
      </c>
      <c r="E12">
        <f>LOOKUP($D12,NIFTY!$S$5:$S$45,NIFTY!$AB$5:$AB$45)</f>
        <v>49025</v>
      </c>
      <c r="F12">
        <f>LOOKUP($D12,NIFTY!$S$5:$S$45,NIFTY!$AA$5:$AA$45)</f>
        <v>57425</v>
      </c>
      <c r="G12">
        <f>LOOKUP($D12,NIFTY!$S$5:$S$45,NIFTY!$AE$5:$AE$45)</f>
        <v>552500</v>
      </c>
      <c r="H12" s="8">
        <f t="shared" ca="1" si="5"/>
        <v>45469.57169409722</v>
      </c>
      <c r="L12">
        <f>LOOKUP($O12,N_BANK!$S$5:$S$45,N_BANK!$R$5:$R$45)</f>
        <v>113088135</v>
      </c>
      <c r="M12">
        <f>LOOKUP($O12,N_BANK!$S$5:$S$45,N_BANK!$N$5:$N$45)</f>
        <v>3472755</v>
      </c>
      <c r="N12">
        <f>LOOKUP($O12,N_BANK!$S$5:$S$45,N_BANK!$O$5:$O$45)</f>
        <v>2758215</v>
      </c>
      <c r="O12">
        <f t="shared" si="11"/>
        <v>53300</v>
      </c>
      <c r="P12">
        <f>LOOKUP($O12,N_BANK!$S$5:$S$45,N_BANK!$AA$5:$AA$45)</f>
        <v>114255</v>
      </c>
      <c r="Q12">
        <f>LOOKUP($O12,N_BANK!$S$5:$S$45,N_BANK!$AB$5:$AB$45)</f>
        <v>107835</v>
      </c>
      <c r="R12">
        <f>LOOKUP($O12,N_BANK!$S$5:$S$45,N_BANK!$AE$5:$AE$45)</f>
        <v>1906245</v>
      </c>
      <c r="S12" s="8">
        <f t="shared" ca="1" si="6"/>
        <v>45469.57169409722</v>
      </c>
      <c r="W12">
        <f>LOOKUP(Z12,'1.BANKEX'!$AA$2:$AA$22,'1.BANKEX'!$L$2:$L$22)</f>
        <v>3578513</v>
      </c>
      <c r="X12">
        <f>LOOKUP(Z12,'1.BANKEX'!$AA$2:$AA$22,'1.BANKEX'!$J$2:$J$22)</f>
        <v>23285</v>
      </c>
      <c r="Y12">
        <f>LOOKUP(Z12,'1.BANKEX'!$AA$2:$AA$22,'1.BANKEX'!$K$2:$K$22)</f>
        <v>0</v>
      </c>
      <c r="Z12">
        <f t="shared" si="12"/>
        <v>54900</v>
      </c>
      <c r="AA12">
        <f>LOOKUP(Z12,'1.BANKEX'!$AA$2:$AA$22,'1.BANKEX'!$AQ$2:$AQ$22)</f>
        <v>0</v>
      </c>
      <c r="AB12">
        <f>LOOKUP(Z12,'1.BANKEX'!$AA$2:$AA$22,'1.BANKEX'!$AR$2:$AR$22)</f>
        <v>904</v>
      </c>
      <c r="AC12">
        <f>LOOKUP(Z12,'1.BANKEX'!$AA$2:$AA$22,'1.BANKEX'!$AP$2:$AP$22)</f>
        <v>12909</v>
      </c>
      <c r="AD12" s="8">
        <f t="shared" ca="1" si="7"/>
        <v>45469.571693981481</v>
      </c>
      <c r="AH12">
        <f>LOOKUP(AK12,'1.SENSEX'!$AA$2:$AA$22,'1.SENSEX'!$L$2:$L$22)</f>
        <v>19084</v>
      </c>
      <c r="AI12">
        <f>LOOKUP(AK12,'1.SENSEX'!$AA$2:$AA$22,'1.SENSEX'!$J$2:$J$22)</f>
        <v>1412</v>
      </c>
      <c r="AJ12">
        <f>LOOKUP(AK12,'1.SENSEX'!$AA$2:$AA$22,'1.SENSEX'!$K$2:$K$22)</f>
        <v>0</v>
      </c>
      <c r="AK12">
        <f t="shared" si="13"/>
        <v>73200</v>
      </c>
      <c r="AL12">
        <f>LOOKUP(AK12,'1.SENSEX'!$AA$2:$AA$22,'1.SENSEX'!$AQ$2:$AQ$22)</f>
        <v>0</v>
      </c>
      <c r="AM12">
        <f>LOOKUP(AK12,'1.SENSEX'!$AA$2:$AA$22,'1.SENSEX'!$AR$2:$AR$22)</f>
        <v>301</v>
      </c>
      <c r="AN12">
        <f>LOOKUP(AK12,'1.SENSEX'!$AA$2:$AA$22,'1.SENSEX'!$AP$2:$AP$22)</f>
        <v>344</v>
      </c>
      <c r="AO12" s="8">
        <f t="shared" ca="1" si="8"/>
        <v>45469.571693981481</v>
      </c>
      <c r="AS12">
        <f>LOOKUP(AV12,'1.FINNIFTY'!$AA$2:$AA$22,'1.FINNIFTY'!$L$2:$L$22)</f>
        <v>775340</v>
      </c>
      <c r="AT12">
        <f>LOOKUP(AV12,'1.FINNIFTY'!$AA$2:$AA$22,'1.FINNIFTY'!$J$2:$J$22)</f>
        <v>29210</v>
      </c>
      <c r="AU12">
        <f>LOOKUP(AV12,'1.FINNIFTY'!$AA$2:$AA$22,'1.FINNIFTY'!$K$2:$K$22)</f>
        <v>0</v>
      </c>
      <c r="AV12">
        <f t="shared" si="14"/>
        <v>21450</v>
      </c>
      <c r="AW12">
        <f>LOOKUP(AV12,'1.FINNIFTY'!$AA$2:$AA$22,'1.FINNIFTY'!$AQ$2:$AQ$22)</f>
        <v>0</v>
      </c>
      <c r="AX12">
        <f>LOOKUP(AV12,'1.FINNIFTY'!$AA$2:$AA$22,'1.FINNIFTY'!$AR$2:$AR$22)</f>
        <v>3936</v>
      </c>
      <c r="AY12">
        <f>LOOKUP(AV12,'1.FINNIFTY'!$AA$2:$AA$22,'1.FINNIFTY'!$AP$2:$AP$22)</f>
        <v>7190</v>
      </c>
      <c r="AZ12" s="8">
        <f t="shared" ca="1" si="9"/>
        <v>45469.571693981481</v>
      </c>
    </row>
    <row r="13" spans="1:54" x14ac:dyDescent="0.25">
      <c r="A13">
        <f>LOOKUP($D13,NIFTY!$S$5:$S$45,NIFTY!$R$5:$R$45)</f>
        <v>62498450</v>
      </c>
      <c r="B13">
        <f>LOOKUP($D13,NIFTY!$S$5:$S$45,NIFTY!$N$5:$N$45)</f>
        <v>6114650</v>
      </c>
      <c r="C13">
        <f>LOOKUP($D13,NIFTY!$S$5:$S$45,NIFTY!$O$5:$O$45)</f>
        <v>1458750</v>
      </c>
      <c r="D13">
        <f t="shared" si="10"/>
        <v>24100</v>
      </c>
      <c r="E13">
        <f>LOOKUP($D13,NIFTY!$S$5:$S$45,NIFTY!$AB$5:$AB$45)</f>
        <v>78050</v>
      </c>
      <c r="F13">
        <f>LOOKUP($D13,NIFTY!$S$5:$S$45,NIFTY!$AA$5:$AA$45)</f>
        <v>107225</v>
      </c>
      <c r="G13">
        <f>LOOKUP($D13,NIFTY!$S$5:$S$45,NIFTY!$AE$5:$AE$45)</f>
        <v>660775</v>
      </c>
      <c r="H13" s="8">
        <f t="shared" ca="1" si="5"/>
        <v>45469.57169409722</v>
      </c>
      <c r="L13">
        <f>LOOKUP($O13,N_BANK!$S$5:$S$45,N_BANK!$R$5:$R$45)</f>
        <v>104384760</v>
      </c>
      <c r="M13">
        <f>LOOKUP($O13,N_BANK!$S$5:$S$45,N_BANK!$N$5:$N$45)</f>
        <v>3021450</v>
      </c>
      <c r="N13">
        <f>LOOKUP($O13,N_BANK!$S$5:$S$45,N_BANK!$O$5:$O$45)</f>
        <v>2424735</v>
      </c>
      <c r="O13">
        <f t="shared" si="11"/>
        <v>53400</v>
      </c>
      <c r="P13">
        <f>LOOKUP($O13,N_BANK!$S$5:$S$45,N_BANK!$AA$5:$AA$45)</f>
        <v>81135</v>
      </c>
      <c r="Q13">
        <f>LOOKUP($O13,N_BANK!$S$5:$S$45,N_BANK!$AB$5:$AB$45)</f>
        <v>70485</v>
      </c>
      <c r="R13">
        <f>LOOKUP($O13,N_BANK!$S$5:$S$45,N_BANK!$AE$5:$AE$45)</f>
        <v>818085</v>
      </c>
      <c r="S13" s="8">
        <f t="shared" ca="1" si="6"/>
        <v>45469.57169409722</v>
      </c>
      <c r="W13">
        <f>LOOKUP(Z13,'1.BANKEX'!$AA$2:$AA$22,'1.BANKEX'!$L$2:$L$22)</f>
        <v>4225680</v>
      </c>
      <c r="X13">
        <f>LOOKUP(Z13,'1.BANKEX'!$AA$2:$AA$22,'1.BANKEX'!$J$2:$J$22)</f>
        <v>46408</v>
      </c>
      <c r="Y13">
        <f>LOOKUP(Z13,'1.BANKEX'!$AA$2:$AA$22,'1.BANKEX'!$K$2:$K$22)</f>
        <v>0</v>
      </c>
      <c r="Z13">
        <f t="shared" si="12"/>
        <v>55000</v>
      </c>
      <c r="AA13">
        <f>LOOKUP(Z13,'1.BANKEX'!$AA$2:$AA$22,'1.BANKEX'!$AQ$2:$AQ$22)</f>
        <v>0</v>
      </c>
      <c r="AB13">
        <f>LOOKUP(Z13,'1.BANKEX'!$AA$2:$AA$22,'1.BANKEX'!$AR$2:$AR$22)</f>
        <v>937</v>
      </c>
      <c r="AC13">
        <f>LOOKUP(Z13,'1.BANKEX'!$AA$2:$AA$22,'1.BANKEX'!$AP$2:$AP$22)</f>
        <v>12956</v>
      </c>
      <c r="AD13" s="8">
        <f t="shared" ca="1" si="7"/>
        <v>45469.571693981481</v>
      </c>
      <c r="AH13">
        <f>LOOKUP(AK13,'1.SENSEX'!$AA$2:$AA$22,'1.SENSEX'!$L$2:$L$22)</f>
        <v>16672</v>
      </c>
      <c r="AI13">
        <f>LOOKUP(AK13,'1.SENSEX'!$AA$2:$AA$22,'1.SENSEX'!$J$2:$J$22)</f>
        <v>1703</v>
      </c>
      <c r="AJ13">
        <f>LOOKUP(AK13,'1.SENSEX'!$AA$2:$AA$22,'1.SENSEX'!$K$2:$K$22)</f>
        <v>0</v>
      </c>
      <c r="AK13">
        <f t="shared" si="13"/>
        <v>73300</v>
      </c>
      <c r="AL13">
        <f>LOOKUP(AK13,'1.SENSEX'!$AA$2:$AA$22,'1.SENSEX'!$AQ$2:$AQ$22)</f>
        <v>0</v>
      </c>
      <c r="AM13">
        <f>LOOKUP(AK13,'1.SENSEX'!$AA$2:$AA$22,'1.SENSEX'!$AR$2:$AR$22)</f>
        <v>65</v>
      </c>
      <c r="AN13">
        <f>LOOKUP(AK13,'1.SENSEX'!$AA$2:$AA$22,'1.SENSEX'!$AP$2:$AP$22)</f>
        <v>381</v>
      </c>
      <c r="AO13" s="8">
        <f t="shared" ca="1" si="8"/>
        <v>45469.571693981481</v>
      </c>
      <c r="AS13">
        <f>LOOKUP(AV13,'1.FINNIFTY'!$AA$2:$AA$22,'1.FINNIFTY'!$L$2:$L$22)</f>
        <v>1164120</v>
      </c>
      <c r="AT13">
        <f>LOOKUP(AV13,'1.FINNIFTY'!$AA$2:$AA$22,'1.FINNIFTY'!$J$2:$J$22)</f>
        <v>58969</v>
      </c>
      <c r="AU13">
        <f>LOOKUP(AV13,'1.FINNIFTY'!$AA$2:$AA$22,'1.FINNIFTY'!$K$2:$K$22)</f>
        <v>0</v>
      </c>
      <c r="AV13">
        <f t="shared" si="14"/>
        <v>21500</v>
      </c>
      <c r="AW13">
        <f>LOOKUP(AV13,'1.FINNIFTY'!$AA$2:$AA$22,'1.FINNIFTY'!$AQ$2:$AQ$22)</f>
        <v>0</v>
      </c>
      <c r="AX13">
        <f>LOOKUP(AV13,'1.FINNIFTY'!$AA$2:$AA$22,'1.FINNIFTY'!$AR$2:$AR$22)</f>
        <v>4996</v>
      </c>
      <c r="AY13">
        <f>LOOKUP(AV13,'1.FINNIFTY'!$AA$2:$AA$22,'1.FINNIFTY'!$AP$2:$AP$22)</f>
        <v>8812</v>
      </c>
      <c r="AZ13" s="8">
        <f t="shared" ca="1" si="9"/>
        <v>45469.571693981481</v>
      </c>
    </row>
  </sheetData>
  <conditionalFormatting sqref="A3:C13">
    <cfRule type="top10" dxfId="11" priority="1" rank="3"/>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7E619-0CDE-49EE-9C83-F3650BFCF478}">
  <dimension ref="A1:AA25"/>
  <sheetViews>
    <sheetView topLeftCell="E1" zoomScaleNormal="100" workbookViewId="0">
      <selection activeCell="J15" sqref="J15"/>
    </sheetView>
  </sheetViews>
  <sheetFormatPr defaultRowHeight="15" x14ac:dyDescent="0.25"/>
  <cols>
    <col min="1" max="1" width="11.5703125" bestFit="1" customWidth="1"/>
    <col min="2" max="3" width="7" bestFit="1" customWidth="1"/>
    <col min="4" max="4" width="14.28515625" bestFit="1" customWidth="1"/>
    <col min="5" max="5" width="10.5703125" bestFit="1" customWidth="1"/>
    <col min="6" max="6" width="9.42578125" bestFit="1" customWidth="1"/>
    <col min="7" max="7" width="6" bestFit="1" customWidth="1"/>
    <col min="8" max="8" width="5" bestFit="1" customWidth="1"/>
    <col min="9" max="9" width="23" bestFit="1" customWidth="1"/>
    <col min="10" max="10" width="12" bestFit="1" customWidth="1"/>
    <col min="11" max="11" width="9" bestFit="1" customWidth="1"/>
    <col min="12" max="13" width="6.7109375" bestFit="1" customWidth="1"/>
    <col min="14" max="14" width="11.85546875" bestFit="1" customWidth="1"/>
    <col min="15" max="15" width="11.42578125" bestFit="1" customWidth="1"/>
    <col min="16" max="16" width="23" bestFit="1" customWidth="1"/>
    <col min="17" max="17" width="9" bestFit="1" customWidth="1"/>
    <col min="18" max="18" width="8" bestFit="1" customWidth="1"/>
    <col min="19" max="19" width="7" bestFit="1" customWidth="1"/>
    <col min="20" max="20" width="9" bestFit="1" customWidth="1"/>
    <col min="21" max="21" width="10" bestFit="1" customWidth="1"/>
    <col min="22" max="22" width="23" bestFit="1" customWidth="1"/>
  </cols>
  <sheetData>
    <row r="1" spans="1:27" x14ac:dyDescent="0.25">
      <c r="N1" t="s">
        <v>148</v>
      </c>
      <c r="O1" t="s">
        <v>149</v>
      </c>
      <c r="P1" t="s">
        <v>150</v>
      </c>
    </row>
    <row r="2" spans="1:27" x14ac:dyDescent="0.25">
      <c r="N2">
        <v>23537.85</v>
      </c>
      <c r="O2">
        <v>14.06</v>
      </c>
      <c r="P2">
        <v>1.0303807755004735</v>
      </c>
    </row>
    <row r="4" spans="1:27" x14ac:dyDescent="0.25">
      <c r="C4" t="s">
        <v>151</v>
      </c>
      <c r="D4" t="s">
        <v>152</v>
      </c>
      <c r="E4" t="s">
        <v>153</v>
      </c>
      <c r="F4" t="s">
        <v>154</v>
      </c>
      <c r="G4" t="s">
        <v>155</v>
      </c>
      <c r="H4" t="s">
        <v>156</v>
      </c>
      <c r="I4" t="s">
        <v>157</v>
      </c>
      <c r="J4" t="s">
        <v>158</v>
      </c>
      <c r="K4" t="s">
        <v>159</v>
      </c>
      <c r="L4" t="s">
        <v>160</v>
      </c>
      <c r="M4" t="s">
        <v>161</v>
      </c>
      <c r="N4" t="s">
        <v>162</v>
      </c>
      <c r="O4" t="s">
        <v>53</v>
      </c>
      <c r="P4" t="s">
        <v>163</v>
      </c>
      <c r="Q4" t="s">
        <v>164</v>
      </c>
      <c r="R4" t="s">
        <v>165</v>
      </c>
      <c r="S4" t="s">
        <v>166</v>
      </c>
      <c r="T4" t="s">
        <v>167</v>
      </c>
      <c r="U4" t="s">
        <v>168</v>
      </c>
      <c r="V4" t="s">
        <v>169</v>
      </c>
      <c r="W4" t="s">
        <v>170</v>
      </c>
      <c r="X4" t="s">
        <v>171</v>
      </c>
      <c r="Y4" t="s">
        <v>172</v>
      </c>
      <c r="Z4" t="s">
        <v>173</v>
      </c>
      <c r="AA4" t="s">
        <v>174</v>
      </c>
    </row>
    <row r="5" spans="1:27" x14ac:dyDescent="0.25">
      <c r="A5" s="18"/>
      <c r="B5">
        <v>0</v>
      </c>
      <c r="C5">
        <v>524.65</v>
      </c>
      <c r="D5">
        <v>518.35</v>
      </c>
      <c r="E5">
        <v>519.35</v>
      </c>
      <c r="F5">
        <v>67.5</v>
      </c>
      <c r="G5">
        <v>14.94</v>
      </c>
      <c r="H5" t="s">
        <v>1</v>
      </c>
      <c r="I5" t="s">
        <v>175</v>
      </c>
      <c r="J5">
        <v>28525</v>
      </c>
      <c r="K5">
        <v>-2575</v>
      </c>
      <c r="L5">
        <v>-8.2799999999999994</v>
      </c>
      <c r="M5">
        <v>31100</v>
      </c>
      <c r="N5">
        <v>139875</v>
      </c>
      <c r="O5">
        <v>23050</v>
      </c>
      <c r="P5">
        <v>12.95</v>
      </c>
      <c r="Q5">
        <v>12.5</v>
      </c>
      <c r="R5">
        <v>12.55</v>
      </c>
      <c r="S5">
        <v>-7.3</v>
      </c>
      <c r="T5">
        <v>-36.78</v>
      </c>
      <c r="U5" t="s">
        <v>2</v>
      </c>
      <c r="V5" t="s">
        <v>176</v>
      </c>
      <c r="W5">
        <v>824300</v>
      </c>
      <c r="X5">
        <v>144425</v>
      </c>
      <c r="Y5">
        <v>21.24</v>
      </c>
      <c r="Z5">
        <v>679875</v>
      </c>
      <c r="AA5">
        <v>15451500</v>
      </c>
    </row>
    <row r="6" spans="1:27" x14ac:dyDescent="0.25">
      <c r="B6">
        <v>1</v>
      </c>
      <c r="C6">
        <v>473.95</v>
      </c>
      <c r="D6">
        <v>471.5</v>
      </c>
      <c r="E6">
        <v>474.5</v>
      </c>
      <c r="F6">
        <v>62.8</v>
      </c>
      <c r="G6">
        <v>15.25</v>
      </c>
      <c r="H6" t="s">
        <v>1</v>
      </c>
      <c r="I6" t="s">
        <v>178</v>
      </c>
      <c r="J6">
        <v>319275</v>
      </c>
      <c r="K6">
        <v>-8025</v>
      </c>
      <c r="L6">
        <v>-2.4500000000000002</v>
      </c>
      <c r="M6">
        <v>327300</v>
      </c>
      <c r="N6">
        <v>877375</v>
      </c>
      <c r="O6">
        <v>23100</v>
      </c>
      <c r="P6">
        <v>15.9</v>
      </c>
      <c r="Q6">
        <v>15.6</v>
      </c>
      <c r="R6">
        <v>16</v>
      </c>
      <c r="S6">
        <v>-9.0500000000000007</v>
      </c>
      <c r="T6">
        <v>-36.130000000000003</v>
      </c>
      <c r="U6" t="s">
        <v>2</v>
      </c>
      <c r="V6" t="s">
        <v>177</v>
      </c>
      <c r="W6">
        <v>2837075</v>
      </c>
      <c r="X6">
        <v>148555</v>
      </c>
      <c r="Y6">
        <v>5.53</v>
      </c>
      <c r="Z6">
        <v>2688520</v>
      </c>
      <c r="AA6">
        <v>30461425</v>
      </c>
    </row>
    <row r="7" spans="1:27" x14ac:dyDescent="0.25">
      <c r="B7">
        <v>2</v>
      </c>
      <c r="C7">
        <v>427.95</v>
      </c>
      <c r="D7">
        <v>427</v>
      </c>
      <c r="E7">
        <v>428.4</v>
      </c>
      <c r="F7">
        <v>55.45</v>
      </c>
      <c r="G7">
        <v>14.87</v>
      </c>
      <c r="H7" t="s">
        <v>1</v>
      </c>
      <c r="I7" t="s">
        <v>179</v>
      </c>
      <c r="J7">
        <v>60025</v>
      </c>
      <c r="K7">
        <v>6900</v>
      </c>
      <c r="L7">
        <v>12.99</v>
      </c>
      <c r="M7">
        <v>53125</v>
      </c>
      <c r="N7">
        <v>512575</v>
      </c>
      <c r="O7">
        <v>23150</v>
      </c>
      <c r="P7">
        <v>19.8</v>
      </c>
      <c r="Q7">
        <v>19.399999999999999</v>
      </c>
      <c r="R7">
        <v>19.350000000000001</v>
      </c>
      <c r="S7">
        <v>-11.8</v>
      </c>
      <c r="T7">
        <v>-37.880000000000003</v>
      </c>
      <c r="U7" t="s">
        <v>2</v>
      </c>
      <c r="V7" t="s">
        <v>180</v>
      </c>
      <c r="W7">
        <v>1408200</v>
      </c>
      <c r="X7">
        <v>478050</v>
      </c>
      <c r="Y7">
        <v>51.39</v>
      </c>
      <c r="Z7">
        <v>930150</v>
      </c>
      <c r="AA7">
        <v>19596975</v>
      </c>
    </row>
    <row r="8" spans="1:27" x14ac:dyDescent="0.25">
      <c r="B8">
        <v>3</v>
      </c>
      <c r="C8">
        <v>382.5</v>
      </c>
      <c r="D8">
        <v>381.1</v>
      </c>
      <c r="E8">
        <v>382</v>
      </c>
      <c r="F8">
        <v>55.6</v>
      </c>
      <c r="G8">
        <v>17.03</v>
      </c>
      <c r="H8" t="s">
        <v>1</v>
      </c>
      <c r="I8" t="s">
        <v>182</v>
      </c>
      <c r="J8">
        <v>770125</v>
      </c>
      <c r="K8">
        <v>40125</v>
      </c>
      <c r="L8">
        <v>5.5</v>
      </c>
      <c r="M8">
        <v>730000</v>
      </c>
      <c r="N8">
        <v>4225725</v>
      </c>
      <c r="O8">
        <v>23200</v>
      </c>
      <c r="P8">
        <v>24.55</v>
      </c>
      <c r="Q8">
        <v>24.2</v>
      </c>
      <c r="R8">
        <v>24.55</v>
      </c>
      <c r="S8">
        <v>-14.7</v>
      </c>
      <c r="T8">
        <v>-37.450000000000003</v>
      </c>
      <c r="U8" t="s">
        <v>2</v>
      </c>
      <c r="V8" t="s">
        <v>181</v>
      </c>
      <c r="W8">
        <v>3818125</v>
      </c>
      <c r="X8">
        <v>922175</v>
      </c>
      <c r="Y8">
        <v>31.84</v>
      </c>
      <c r="Z8">
        <v>2895950</v>
      </c>
      <c r="AA8">
        <v>42129375</v>
      </c>
    </row>
    <row r="9" spans="1:27" x14ac:dyDescent="0.25">
      <c r="B9">
        <v>4</v>
      </c>
      <c r="C9">
        <v>338.85</v>
      </c>
      <c r="D9">
        <v>337.05</v>
      </c>
      <c r="E9">
        <v>339.3</v>
      </c>
      <c r="F9">
        <v>45.7</v>
      </c>
      <c r="G9">
        <v>15.57</v>
      </c>
      <c r="H9" t="s">
        <v>1</v>
      </c>
      <c r="I9" t="s">
        <v>184</v>
      </c>
      <c r="J9">
        <v>164850</v>
      </c>
      <c r="K9">
        <v>71000</v>
      </c>
      <c r="L9">
        <v>75.650000000000006</v>
      </c>
      <c r="M9">
        <v>93850</v>
      </c>
      <c r="N9">
        <v>2848400</v>
      </c>
      <c r="O9">
        <v>23250</v>
      </c>
      <c r="P9">
        <v>30.6</v>
      </c>
      <c r="Q9">
        <v>30</v>
      </c>
      <c r="R9">
        <v>30</v>
      </c>
      <c r="S9">
        <v>-19</v>
      </c>
      <c r="T9">
        <v>-38.78</v>
      </c>
      <c r="U9" t="s">
        <v>2</v>
      </c>
      <c r="V9" t="s">
        <v>183</v>
      </c>
      <c r="W9">
        <v>1887975</v>
      </c>
      <c r="X9">
        <v>941300</v>
      </c>
      <c r="Y9">
        <v>99.43</v>
      </c>
      <c r="Z9">
        <v>946675</v>
      </c>
      <c r="AA9">
        <v>25701100</v>
      </c>
    </row>
    <row r="10" spans="1:27" x14ac:dyDescent="0.25">
      <c r="B10">
        <v>5</v>
      </c>
      <c r="C10">
        <v>296</v>
      </c>
      <c r="D10">
        <v>293.89999999999998</v>
      </c>
      <c r="E10">
        <v>293.05</v>
      </c>
      <c r="F10">
        <v>41.85</v>
      </c>
      <c r="G10">
        <v>16.66</v>
      </c>
      <c r="H10" t="s">
        <v>1</v>
      </c>
      <c r="I10" t="s">
        <v>186</v>
      </c>
      <c r="J10">
        <v>1151000</v>
      </c>
      <c r="K10">
        <v>72180</v>
      </c>
      <c r="L10">
        <v>6.69</v>
      </c>
      <c r="M10">
        <v>1078820</v>
      </c>
      <c r="N10">
        <v>17856675</v>
      </c>
      <c r="O10">
        <v>23300</v>
      </c>
      <c r="P10">
        <v>38.299999999999997</v>
      </c>
      <c r="Q10">
        <v>38</v>
      </c>
      <c r="R10">
        <v>38.299999999999997</v>
      </c>
      <c r="S10">
        <v>-22.35</v>
      </c>
      <c r="T10">
        <v>-36.85</v>
      </c>
      <c r="U10" t="s">
        <v>2</v>
      </c>
      <c r="V10" t="s">
        <v>185</v>
      </c>
      <c r="W10">
        <v>4921625</v>
      </c>
      <c r="X10">
        <v>1608545</v>
      </c>
      <c r="Y10">
        <v>48.55</v>
      </c>
      <c r="Z10">
        <v>3313080</v>
      </c>
      <c r="AA10">
        <v>59959250</v>
      </c>
    </row>
    <row r="11" spans="1:27" x14ac:dyDescent="0.25">
      <c r="B11">
        <v>6</v>
      </c>
      <c r="C11">
        <v>256.35000000000002</v>
      </c>
      <c r="D11">
        <v>255.95</v>
      </c>
      <c r="E11">
        <v>256</v>
      </c>
      <c r="F11">
        <v>38.65</v>
      </c>
      <c r="G11">
        <v>17.78</v>
      </c>
      <c r="H11" t="s">
        <v>1</v>
      </c>
      <c r="I11" t="s">
        <v>187</v>
      </c>
      <c r="J11">
        <v>669875</v>
      </c>
      <c r="K11">
        <v>401275</v>
      </c>
      <c r="L11">
        <v>149.4</v>
      </c>
      <c r="M11">
        <v>268600</v>
      </c>
      <c r="N11">
        <v>17902675</v>
      </c>
      <c r="O11">
        <v>23350</v>
      </c>
      <c r="P11">
        <v>47.75</v>
      </c>
      <c r="Q11">
        <v>47.1</v>
      </c>
      <c r="R11">
        <v>47.75</v>
      </c>
      <c r="S11">
        <v>-27.45</v>
      </c>
      <c r="T11">
        <v>-36.5</v>
      </c>
      <c r="U11" t="s">
        <v>2</v>
      </c>
      <c r="V11" t="s">
        <v>188</v>
      </c>
      <c r="W11">
        <v>2112600</v>
      </c>
      <c r="X11">
        <v>1232825</v>
      </c>
      <c r="Y11">
        <v>140.13</v>
      </c>
      <c r="Z11">
        <v>879775</v>
      </c>
      <c r="AA11">
        <v>39176475</v>
      </c>
    </row>
    <row r="12" spans="1:27" x14ac:dyDescent="0.25">
      <c r="B12">
        <v>7</v>
      </c>
      <c r="C12">
        <v>216.3</v>
      </c>
      <c r="D12">
        <v>216</v>
      </c>
      <c r="E12">
        <v>216.3</v>
      </c>
      <c r="F12">
        <v>34.200000000000003</v>
      </c>
      <c r="G12">
        <v>18.78</v>
      </c>
      <c r="H12" t="s">
        <v>1</v>
      </c>
      <c r="I12" t="s">
        <v>190</v>
      </c>
      <c r="J12">
        <v>3294475</v>
      </c>
      <c r="K12">
        <v>1018995</v>
      </c>
      <c r="L12">
        <v>44.78</v>
      </c>
      <c r="M12">
        <v>2275480</v>
      </c>
      <c r="N12">
        <v>72736825</v>
      </c>
      <c r="O12">
        <v>23400</v>
      </c>
      <c r="P12">
        <v>59.4</v>
      </c>
      <c r="Q12">
        <v>58.7</v>
      </c>
      <c r="R12">
        <v>59.35</v>
      </c>
      <c r="S12">
        <v>-32.450000000000003</v>
      </c>
      <c r="T12">
        <v>-35.35</v>
      </c>
      <c r="U12" t="s">
        <v>2</v>
      </c>
      <c r="V12" t="s">
        <v>189</v>
      </c>
      <c r="W12">
        <v>6794650</v>
      </c>
      <c r="X12">
        <v>2984670</v>
      </c>
      <c r="Y12">
        <v>78.34</v>
      </c>
      <c r="Z12">
        <v>3809980</v>
      </c>
      <c r="AA12">
        <v>97793375</v>
      </c>
    </row>
    <row r="13" spans="1:27" x14ac:dyDescent="0.25">
      <c r="B13">
        <v>8</v>
      </c>
      <c r="C13">
        <v>180.9</v>
      </c>
      <c r="D13">
        <v>179.3</v>
      </c>
      <c r="E13">
        <v>179.9</v>
      </c>
      <c r="F13">
        <v>26.95</v>
      </c>
      <c r="G13">
        <v>17.62</v>
      </c>
      <c r="H13" t="s">
        <v>1</v>
      </c>
      <c r="I13" t="s">
        <v>192</v>
      </c>
      <c r="J13">
        <v>998550</v>
      </c>
      <c r="K13">
        <v>-154750</v>
      </c>
      <c r="L13">
        <v>-13.42</v>
      </c>
      <c r="M13">
        <v>1153300</v>
      </c>
      <c r="N13">
        <v>46947650</v>
      </c>
      <c r="O13">
        <v>23450</v>
      </c>
      <c r="P13">
        <v>73.75</v>
      </c>
      <c r="Q13">
        <v>73.55</v>
      </c>
      <c r="R13">
        <v>73.55</v>
      </c>
      <c r="S13">
        <v>-39.200000000000003</v>
      </c>
      <c r="T13">
        <v>-34.770000000000003</v>
      </c>
      <c r="U13" t="s">
        <v>2</v>
      </c>
      <c r="V13" t="s">
        <v>191</v>
      </c>
      <c r="W13">
        <v>2008750</v>
      </c>
      <c r="X13">
        <v>824100</v>
      </c>
      <c r="Y13">
        <v>69.56</v>
      </c>
      <c r="Z13">
        <v>1184650</v>
      </c>
      <c r="AA13">
        <v>47457750</v>
      </c>
    </row>
    <row r="14" spans="1:27" x14ac:dyDescent="0.25">
      <c r="B14">
        <v>9</v>
      </c>
      <c r="C14">
        <v>148.05000000000001</v>
      </c>
      <c r="D14">
        <v>147.35</v>
      </c>
      <c r="E14">
        <v>147.35</v>
      </c>
      <c r="F14">
        <v>20.95</v>
      </c>
      <c r="G14">
        <v>16.57</v>
      </c>
      <c r="H14" t="s">
        <v>1</v>
      </c>
      <c r="I14" t="s">
        <v>194</v>
      </c>
      <c r="J14">
        <v>5655625</v>
      </c>
      <c r="K14">
        <v>-127595</v>
      </c>
      <c r="L14">
        <v>-2.21</v>
      </c>
      <c r="M14">
        <v>5783220</v>
      </c>
      <c r="N14">
        <v>114842075</v>
      </c>
      <c r="O14">
        <v>23500</v>
      </c>
      <c r="P14">
        <v>90.9</v>
      </c>
      <c r="Q14">
        <v>90.55</v>
      </c>
      <c r="R14">
        <v>90.55</v>
      </c>
      <c r="S14">
        <v>-43.2</v>
      </c>
      <c r="T14">
        <v>-32.299999999999997</v>
      </c>
      <c r="U14" t="s">
        <v>2</v>
      </c>
      <c r="V14" t="s">
        <v>193</v>
      </c>
      <c r="W14">
        <v>6720450</v>
      </c>
      <c r="X14">
        <v>1523200</v>
      </c>
      <c r="Y14">
        <v>29.31</v>
      </c>
      <c r="Z14">
        <v>5197250</v>
      </c>
      <c r="AA14">
        <v>101738175</v>
      </c>
    </row>
    <row r="15" spans="1:27" x14ac:dyDescent="0.25">
      <c r="B15">
        <v>10</v>
      </c>
      <c r="C15">
        <v>120</v>
      </c>
      <c r="D15">
        <v>119.05</v>
      </c>
      <c r="E15">
        <v>120</v>
      </c>
      <c r="F15">
        <v>14.65</v>
      </c>
      <c r="G15">
        <v>13.91</v>
      </c>
      <c r="H15" t="s">
        <v>1</v>
      </c>
      <c r="I15" t="s">
        <v>196</v>
      </c>
      <c r="J15">
        <v>2592300</v>
      </c>
      <c r="K15">
        <v>724680</v>
      </c>
      <c r="L15">
        <v>38.799999999999997</v>
      </c>
      <c r="M15">
        <v>1867620</v>
      </c>
      <c r="N15">
        <v>67296700</v>
      </c>
      <c r="O15">
        <v>23550</v>
      </c>
      <c r="P15">
        <v>111.95</v>
      </c>
      <c r="Q15">
        <v>111.15</v>
      </c>
      <c r="R15">
        <v>111.15</v>
      </c>
      <c r="S15">
        <v>-47.2</v>
      </c>
      <c r="T15">
        <v>-29.81</v>
      </c>
      <c r="U15" t="s">
        <v>2</v>
      </c>
      <c r="V15" t="s">
        <v>195</v>
      </c>
      <c r="W15">
        <v>1813725</v>
      </c>
      <c r="X15">
        <v>924650</v>
      </c>
      <c r="Y15">
        <v>104</v>
      </c>
      <c r="Z15">
        <v>889075</v>
      </c>
      <c r="AA15">
        <v>35272575</v>
      </c>
    </row>
    <row r="16" spans="1:27" x14ac:dyDescent="0.25">
      <c r="B16">
        <v>11</v>
      </c>
      <c r="C16">
        <v>94</v>
      </c>
      <c r="D16">
        <v>93.5</v>
      </c>
      <c r="E16">
        <v>94</v>
      </c>
      <c r="F16">
        <v>10</v>
      </c>
      <c r="G16">
        <v>11.9</v>
      </c>
      <c r="H16" t="s">
        <v>1</v>
      </c>
      <c r="I16" t="s">
        <v>197</v>
      </c>
      <c r="J16">
        <v>4790650</v>
      </c>
      <c r="K16">
        <v>-747950</v>
      </c>
      <c r="L16">
        <v>-13.5</v>
      </c>
      <c r="M16">
        <v>5538600</v>
      </c>
      <c r="N16">
        <v>87920450</v>
      </c>
      <c r="O16">
        <v>23600</v>
      </c>
      <c r="P16">
        <v>136</v>
      </c>
      <c r="Q16">
        <v>135.30000000000001</v>
      </c>
      <c r="R16">
        <v>136</v>
      </c>
      <c r="S16">
        <v>-53.95</v>
      </c>
      <c r="T16">
        <v>-28.4</v>
      </c>
      <c r="U16" t="s">
        <v>2</v>
      </c>
      <c r="V16" t="s">
        <v>198</v>
      </c>
      <c r="W16">
        <v>2651575</v>
      </c>
      <c r="X16">
        <v>442155</v>
      </c>
      <c r="Y16">
        <v>20.010000000000002</v>
      </c>
      <c r="Z16">
        <v>2209420</v>
      </c>
      <c r="AA16">
        <v>32844000</v>
      </c>
    </row>
    <row r="17" spans="2:27" x14ac:dyDescent="0.25">
      <c r="B17">
        <v>12</v>
      </c>
      <c r="C17">
        <v>72.349999999999994</v>
      </c>
      <c r="D17">
        <v>72</v>
      </c>
      <c r="E17">
        <v>72.349999999999994</v>
      </c>
      <c r="F17">
        <v>6.85</v>
      </c>
      <c r="G17">
        <v>10.46</v>
      </c>
      <c r="H17" t="s">
        <v>1</v>
      </c>
      <c r="I17" t="s">
        <v>199</v>
      </c>
      <c r="J17">
        <v>1792075</v>
      </c>
      <c r="K17">
        <v>-296805</v>
      </c>
      <c r="L17">
        <v>-14.21</v>
      </c>
      <c r="M17">
        <v>2088880</v>
      </c>
      <c r="N17">
        <v>35427025</v>
      </c>
      <c r="O17">
        <v>23650</v>
      </c>
      <c r="P17">
        <v>164.8</v>
      </c>
      <c r="Q17">
        <v>163.44999999999999</v>
      </c>
      <c r="R17">
        <v>163.1</v>
      </c>
      <c r="S17">
        <v>-58.7</v>
      </c>
      <c r="T17">
        <v>-26.47</v>
      </c>
      <c r="U17" t="s">
        <v>2</v>
      </c>
      <c r="V17" t="s">
        <v>200</v>
      </c>
      <c r="W17">
        <v>417100</v>
      </c>
      <c r="X17">
        <v>18825</v>
      </c>
      <c r="Y17">
        <v>4.7300000000000004</v>
      </c>
      <c r="Z17">
        <v>398275</v>
      </c>
      <c r="AA17">
        <v>5746350</v>
      </c>
    </row>
    <row r="18" spans="2:27" x14ac:dyDescent="0.25">
      <c r="B18">
        <v>13</v>
      </c>
      <c r="C18">
        <v>54</v>
      </c>
      <c r="D18">
        <v>53.2</v>
      </c>
      <c r="E18">
        <v>54.15</v>
      </c>
      <c r="F18">
        <v>2.4</v>
      </c>
      <c r="G18">
        <v>4.6399999999999997</v>
      </c>
      <c r="H18" t="s">
        <v>1</v>
      </c>
      <c r="I18" t="s">
        <v>202</v>
      </c>
      <c r="J18">
        <v>4738650</v>
      </c>
      <c r="K18">
        <v>829300</v>
      </c>
      <c r="L18">
        <v>21.21</v>
      </c>
      <c r="M18">
        <v>3909350</v>
      </c>
      <c r="N18">
        <v>58225650</v>
      </c>
      <c r="O18">
        <v>23700</v>
      </c>
      <c r="P18">
        <v>197</v>
      </c>
      <c r="Q18">
        <v>195</v>
      </c>
      <c r="R18">
        <v>197</v>
      </c>
      <c r="S18">
        <v>-57.15</v>
      </c>
      <c r="T18">
        <v>-22.49</v>
      </c>
      <c r="U18" t="s">
        <v>2</v>
      </c>
      <c r="V18" t="s">
        <v>201</v>
      </c>
      <c r="W18">
        <v>731750</v>
      </c>
      <c r="X18">
        <v>176050</v>
      </c>
      <c r="Y18">
        <v>31.68</v>
      </c>
      <c r="Z18">
        <v>555700</v>
      </c>
      <c r="AA18">
        <v>9332400</v>
      </c>
    </row>
    <row r="19" spans="2:27" x14ac:dyDescent="0.25">
      <c r="B19">
        <v>14</v>
      </c>
      <c r="C19">
        <v>39.299999999999997</v>
      </c>
      <c r="D19">
        <v>39</v>
      </c>
      <c r="E19">
        <v>39.299999999999997</v>
      </c>
      <c r="F19">
        <v>-1.6</v>
      </c>
      <c r="G19">
        <v>-3.91</v>
      </c>
      <c r="H19" t="s">
        <v>1</v>
      </c>
      <c r="I19" t="s">
        <v>204</v>
      </c>
      <c r="J19">
        <v>1577925</v>
      </c>
      <c r="K19">
        <v>378575</v>
      </c>
      <c r="L19">
        <v>31.57</v>
      </c>
      <c r="M19">
        <v>1199350</v>
      </c>
      <c r="N19">
        <v>27294275</v>
      </c>
      <c r="O19">
        <v>23750</v>
      </c>
      <c r="P19">
        <v>232</v>
      </c>
      <c r="Q19">
        <v>230.4</v>
      </c>
      <c r="R19">
        <v>231.75</v>
      </c>
      <c r="S19">
        <v>-53.65</v>
      </c>
      <c r="T19">
        <v>-18.8</v>
      </c>
      <c r="U19" t="s">
        <v>2</v>
      </c>
      <c r="V19" t="s">
        <v>203</v>
      </c>
      <c r="W19">
        <v>160975</v>
      </c>
      <c r="X19">
        <v>-27550</v>
      </c>
      <c r="Y19">
        <v>-14.61</v>
      </c>
      <c r="Z19">
        <v>188525</v>
      </c>
      <c r="AA19">
        <v>968850</v>
      </c>
    </row>
    <row r="20" spans="2:27" x14ac:dyDescent="0.25">
      <c r="B20">
        <v>15</v>
      </c>
      <c r="C20">
        <v>27.85</v>
      </c>
      <c r="D20">
        <v>27.45</v>
      </c>
      <c r="E20">
        <v>27.6</v>
      </c>
      <c r="F20">
        <v>-2.5</v>
      </c>
      <c r="G20">
        <v>-8.31</v>
      </c>
      <c r="H20" t="s">
        <v>1</v>
      </c>
      <c r="I20" t="s">
        <v>206</v>
      </c>
      <c r="J20">
        <v>4608325</v>
      </c>
      <c r="K20">
        <v>768175</v>
      </c>
      <c r="L20">
        <v>20</v>
      </c>
      <c r="M20">
        <v>3840150</v>
      </c>
      <c r="N20">
        <v>51472850</v>
      </c>
      <c r="O20">
        <v>23800</v>
      </c>
      <c r="P20">
        <v>270</v>
      </c>
      <c r="Q20">
        <v>269.14999999999998</v>
      </c>
      <c r="R20">
        <v>270.89999999999998</v>
      </c>
      <c r="S20">
        <v>-63.25</v>
      </c>
      <c r="T20">
        <v>-18.93</v>
      </c>
      <c r="U20" t="s">
        <v>2</v>
      </c>
      <c r="V20" t="s">
        <v>205</v>
      </c>
      <c r="W20">
        <v>381700</v>
      </c>
      <c r="X20">
        <v>16075</v>
      </c>
      <c r="Y20">
        <v>4.4000000000000004</v>
      </c>
      <c r="Z20">
        <v>365625</v>
      </c>
      <c r="AA20">
        <v>2452750</v>
      </c>
    </row>
    <row r="21" spans="2:27" x14ac:dyDescent="0.25">
      <c r="B21">
        <v>16</v>
      </c>
      <c r="C21">
        <v>19.8</v>
      </c>
      <c r="D21">
        <v>19.5</v>
      </c>
      <c r="E21">
        <v>19.5</v>
      </c>
      <c r="F21">
        <v>-3.3</v>
      </c>
      <c r="G21">
        <v>-14.47</v>
      </c>
      <c r="H21" t="s">
        <v>1</v>
      </c>
      <c r="I21" t="s">
        <v>208</v>
      </c>
      <c r="J21">
        <v>1468350</v>
      </c>
      <c r="K21">
        <v>202000</v>
      </c>
      <c r="L21">
        <v>15.95</v>
      </c>
      <c r="M21">
        <v>1266350</v>
      </c>
      <c r="N21">
        <v>28054850</v>
      </c>
      <c r="O21">
        <v>23850</v>
      </c>
      <c r="P21">
        <v>313</v>
      </c>
      <c r="Q21">
        <v>311</v>
      </c>
      <c r="R21">
        <v>312</v>
      </c>
      <c r="S21">
        <v>-67.150000000000006</v>
      </c>
      <c r="T21">
        <v>-17.71</v>
      </c>
      <c r="U21" t="s">
        <v>2</v>
      </c>
      <c r="V21" t="s">
        <v>207</v>
      </c>
      <c r="W21">
        <v>18400</v>
      </c>
      <c r="X21">
        <v>2775</v>
      </c>
      <c r="Y21">
        <v>17.760000000000002</v>
      </c>
      <c r="Z21">
        <v>15625</v>
      </c>
      <c r="AA21">
        <v>202300</v>
      </c>
    </row>
    <row r="22" spans="2:27" x14ac:dyDescent="0.25">
      <c r="B22">
        <v>17</v>
      </c>
      <c r="C22">
        <v>13.55</v>
      </c>
      <c r="D22">
        <v>13.4</v>
      </c>
      <c r="E22">
        <v>13.4</v>
      </c>
      <c r="F22">
        <v>-3.4</v>
      </c>
      <c r="G22">
        <v>-20.239999999999998</v>
      </c>
      <c r="H22" t="s">
        <v>1</v>
      </c>
      <c r="I22" t="s">
        <v>209</v>
      </c>
      <c r="J22">
        <v>4371975</v>
      </c>
      <c r="K22">
        <v>1150595</v>
      </c>
      <c r="L22">
        <v>35.72</v>
      </c>
      <c r="M22">
        <v>3221380</v>
      </c>
      <c r="N22">
        <v>40486800</v>
      </c>
      <c r="O22">
        <v>23900</v>
      </c>
      <c r="P22">
        <v>357</v>
      </c>
      <c r="Q22">
        <v>354.55</v>
      </c>
      <c r="R22">
        <v>355</v>
      </c>
      <c r="S22">
        <v>-76.099999999999994</v>
      </c>
      <c r="T22">
        <v>-17.649999999999999</v>
      </c>
      <c r="U22" t="s">
        <v>2</v>
      </c>
      <c r="V22" t="s">
        <v>210</v>
      </c>
      <c r="W22">
        <v>78250</v>
      </c>
      <c r="X22">
        <v>-9800</v>
      </c>
      <c r="Y22">
        <v>-11.13</v>
      </c>
      <c r="Z22">
        <v>88050</v>
      </c>
      <c r="AA22">
        <v>1017825</v>
      </c>
    </row>
    <row r="23" spans="2:27" x14ac:dyDescent="0.25">
      <c r="B23">
        <v>18</v>
      </c>
      <c r="C23">
        <v>9.8000000000000007</v>
      </c>
      <c r="D23">
        <v>9.4499999999999993</v>
      </c>
      <c r="E23">
        <v>9.4</v>
      </c>
      <c r="F23">
        <v>-3.4</v>
      </c>
      <c r="G23">
        <v>-26.56</v>
      </c>
      <c r="H23" t="s">
        <v>1</v>
      </c>
      <c r="I23" t="s">
        <v>211</v>
      </c>
      <c r="J23">
        <v>1921850</v>
      </c>
      <c r="K23">
        <v>73070</v>
      </c>
      <c r="L23">
        <v>3.95</v>
      </c>
      <c r="M23">
        <v>1848780</v>
      </c>
      <c r="N23">
        <v>24743600</v>
      </c>
      <c r="O23">
        <v>23950</v>
      </c>
      <c r="P23">
        <v>403</v>
      </c>
      <c r="Q23">
        <v>400.5</v>
      </c>
      <c r="R23">
        <v>399.8</v>
      </c>
      <c r="S23">
        <v>-53.3</v>
      </c>
      <c r="T23">
        <v>-11.76</v>
      </c>
      <c r="U23" t="s">
        <v>2</v>
      </c>
      <c r="V23" t="s">
        <v>212</v>
      </c>
      <c r="W23">
        <v>9775</v>
      </c>
      <c r="X23">
        <v>150</v>
      </c>
      <c r="Y23">
        <v>1.56</v>
      </c>
      <c r="Z23">
        <v>9625</v>
      </c>
      <c r="AA23">
        <v>62800</v>
      </c>
    </row>
    <row r="24" spans="2:27" x14ac:dyDescent="0.25">
      <c r="B24">
        <v>19</v>
      </c>
      <c r="C24">
        <v>7.3</v>
      </c>
      <c r="D24">
        <v>7.15</v>
      </c>
      <c r="E24">
        <v>7.3</v>
      </c>
      <c r="F24">
        <v>-2.8</v>
      </c>
      <c r="G24">
        <v>-27.72</v>
      </c>
      <c r="H24" t="s">
        <v>1</v>
      </c>
      <c r="I24" t="s">
        <v>214</v>
      </c>
      <c r="J24">
        <v>12898100</v>
      </c>
      <c r="K24">
        <v>2273200</v>
      </c>
      <c r="L24">
        <v>21.4</v>
      </c>
      <c r="M24">
        <v>10624900</v>
      </c>
      <c r="N24">
        <v>65933000</v>
      </c>
      <c r="O24">
        <v>24000</v>
      </c>
      <c r="P24">
        <v>449</v>
      </c>
      <c r="Q24">
        <v>448</v>
      </c>
      <c r="R24">
        <v>449</v>
      </c>
      <c r="S24">
        <v>-72.25</v>
      </c>
      <c r="T24">
        <v>-13.86</v>
      </c>
      <c r="U24" t="s">
        <v>2</v>
      </c>
      <c r="V24" t="s">
        <v>213</v>
      </c>
      <c r="W24">
        <v>1265850</v>
      </c>
      <c r="X24">
        <v>7100</v>
      </c>
      <c r="Y24">
        <v>0.56000000000000005</v>
      </c>
      <c r="Z24">
        <v>1258750</v>
      </c>
      <c r="AA24">
        <v>1743150</v>
      </c>
    </row>
    <row r="25" spans="2:27" x14ac:dyDescent="0.25">
      <c r="B25">
        <v>20</v>
      </c>
      <c r="C25">
        <v>4.9000000000000004</v>
      </c>
      <c r="D25">
        <v>4.8</v>
      </c>
      <c r="E25">
        <v>4.8</v>
      </c>
      <c r="F25">
        <v>-2.75</v>
      </c>
      <c r="G25">
        <v>-36.42</v>
      </c>
      <c r="H25" t="s">
        <v>1</v>
      </c>
      <c r="I25" t="s">
        <v>216</v>
      </c>
      <c r="J25">
        <v>2410800</v>
      </c>
      <c r="K25">
        <v>909020</v>
      </c>
      <c r="L25">
        <v>60.53</v>
      </c>
      <c r="M25">
        <v>1501780</v>
      </c>
      <c r="N25">
        <v>21366550</v>
      </c>
      <c r="O25">
        <v>24050</v>
      </c>
      <c r="P25">
        <v>498.5</v>
      </c>
      <c r="Q25">
        <v>496</v>
      </c>
      <c r="R25">
        <v>498</v>
      </c>
      <c r="S25">
        <v>-59.8</v>
      </c>
      <c r="T25">
        <v>-10.72</v>
      </c>
      <c r="U25" t="s">
        <v>2</v>
      </c>
      <c r="V25" t="s">
        <v>215</v>
      </c>
      <c r="W25">
        <v>3450</v>
      </c>
      <c r="X25">
        <v>550</v>
      </c>
      <c r="Y25">
        <v>18.97</v>
      </c>
      <c r="Z25">
        <v>2900</v>
      </c>
      <c r="AA25">
        <v>9950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DFF2D-A01B-419B-9BB6-E82022A31B8A}">
  <sheetPr codeName="Sheet1"/>
  <dimension ref="A1:AW28"/>
  <sheetViews>
    <sheetView topLeftCell="A8" workbookViewId="0">
      <selection sqref="A1:C28"/>
    </sheetView>
  </sheetViews>
  <sheetFormatPr defaultRowHeight="15" x14ac:dyDescent="0.25"/>
  <cols>
    <col min="1" max="1" width="28.85546875" bestFit="1" customWidth="1"/>
    <col min="2" max="2" width="15.5703125" bestFit="1" customWidth="1"/>
  </cols>
  <sheetData>
    <row r="1" spans="1:49" x14ac:dyDescent="0.25">
      <c r="A1" t="s">
        <v>0</v>
      </c>
      <c r="B1" t="s">
        <v>1</v>
      </c>
      <c r="C1" t="s">
        <v>2</v>
      </c>
      <c r="E1" t="s">
        <v>31</v>
      </c>
      <c r="F1" t="s">
        <v>32</v>
      </c>
      <c r="G1" t="s">
        <v>33</v>
      </c>
      <c r="H1" t="s">
        <v>34</v>
      </c>
      <c r="I1" t="s">
        <v>35</v>
      </c>
      <c r="J1" t="s">
        <v>36</v>
      </c>
      <c r="K1" t="s">
        <v>37</v>
      </c>
      <c r="L1" t="s">
        <v>38</v>
      </c>
      <c r="M1" t="s">
        <v>39</v>
      </c>
      <c r="N1" t="s">
        <v>40</v>
      </c>
      <c r="O1" t="s">
        <v>41</v>
      </c>
      <c r="P1" t="s">
        <v>42</v>
      </c>
      <c r="Q1" t="s">
        <v>43</v>
      </c>
      <c r="R1" t="s">
        <v>44</v>
      </c>
      <c r="S1" t="s">
        <v>45</v>
      </c>
      <c r="T1" t="s">
        <v>46</v>
      </c>
      <c r="U1" t="s">
        <v>47</v>
      </c>
      <c r="V1" t="s">
        <v>48</v>
      </c>
      <c r="W1" t="s">
        <v>49</v>
      </c>
      <c r="X1" t="s">
        <v>50</v>
      </c>
      <c r="Y1" t="s">
        <v>51</v>
      </c>
      <c r="Z1" t="s">
        <v>52</v>
      </c>
      <c r="AA1" t="s">
        <v>53</v>
      </c>
      <c r="AB1" t="s">
        <v>54</v>
      </c>
      <c r="AC1" t="s">
        <v>55</v>
      </c>
      <c r="AD1" t="s">
        <v>56</v>
      </c>
      <c r="AE1" t="s">
        <v>57</v>
      </c>
      <c r="AF1" t="s">
        <v>58</v>
      </c>
      <c r="AG1" t="s">
        <v>59</v>
      </c>
      <c r="AH1" t="s">
        <v>60</v>
      </c>
      <c r="AI1" t="s">
        <v>61</v>
      </c>
      <c r="AJ1" t="s">
        <v>62</v>
      </c>
      <c r="AK1" t="s">
        <v>63</v>
      </c>
      <c r="AL1" t="s">
        <v>64</v>
      </c>
      <c r="AM1" t="s">
        <v>65</v>
      </c>
      <c r="AN1" t="s">
        <v>66</v>
      </c>
      <c r="AO1" t="s">
        <v>67</v>
      </c>
      <c r="AP1" t="s">
        <v>68</v>
      </c>
      <c r="AQ1" t="s">
        <v>69</v>
      </c>
      <c r="AR1" t="s">
        <v>70</v>
      </c>
      <c r="AS1" t="s">
        <v>71</v>
      </c>
      <c r="AT1" t="s">
        <v>72</v>
      </c>
      <c r="AU1" t="s">
        <v>73</v>
      </c>
      <c r="AV1" t="s">
        <v>74</v>
      </c>
      <c r="AW1" t="s">
        <v>75</v>
      </c>
    </row>
    <row r="2" spans="1:49" x14ac:dyDescent="0.25">
      <c r="A2" t="s">
        <v>3</v>
      </c>
      <c r="B2" t="s">
        <v>76</v>
      </c>
      <c r="E2">
        <v>0.86</v>
      </c>
      <c r="F2">
        <v>2.9999999999999997E-4</v>
      </c>
      <c r="G2">
        <v>-34.840000000000003</v>
      </c>
      <c r="H2">
        <v>8.01</v>
      </c>
      <c r="I2">
        <v>0.19900000000000001</v>
      </c>
      <c r="J2">
        <v>12075</v>
      </c>
      <c r="K2">
        <v>6656</v>
      </c>
      <c r="L2">
        <v>1848045</v>
      </c>
      <c r="M2">
        <v>25.66</v>
      </c>
      <c r="N2">
        <v>261.20000000000005</v>
      </c>
      <c r="O2">
        <v>387.54</v>
      </c>
      <c r="P2">
        <v>164715</v>
      </c>
      <c r="Q2">
        <v>4125</v>
      </c>
      <c r="R2">
        <v>523</v>
      </c>
      <c r="S2">
        <v>829.15</v>
      </c>
      <c r="T2">
        <v>258.05</v>
      </c>
      <c r="U2">
        <v>535.79999999999995</v>
      </c>
      <c r="V2">
        <v>390</v>
      </c>
      <c r="W2">
        <v>797</v>
      </c>
      <c r="X2">
        <v>806.65</v>
      </c>
      <c r="Y2">
        <v>105</v>
      </c>
      <c r="Z2">
        <v>797</v>
      </c>
      <c r="AA2">
        <v>47100</v>
      </c>
      <c r="AB2">
        <v>48.1</v>
      </c>
      <c r="AC2">
        <v>105</v>
      </c>
      <c r="AD2">
        <v>48.05</v>
      </c>
      <c r="AE2">
        <v>49.95</v>
      </c>
      <c r="AF2">
        <v>150</v>
      </c>
      <c r="AG2">
        <v>191.1</v>
      </c>
      <c r="AH2">
        <v>375</v>
      </c>
      <c r="AI2">
        <v>45</v>
      </c>
      <c r="AJ2">
        <v>198.1</v>
      </c>
      <c r="AK2">
        <v>9270</v>
      </c>
      <c r="AL2">
        <v>163635</v>
      </c>
      <c r="AM2">
        <v>219.04</v>
      </c>
      <c r="AN2">
        <v>-150</v>
      </c>
      <c r="AO2">
        <v>18.34</v>
      </c>
      <c r="AP2">
        <v>3480873</v>
      </c>
      <c r="AQ2">
        <v>46498</v>
      </c>
      <c r="AR2">
        <v>67968</v>
      </c>
      <c r="AS2">
        <v>-3.7999999999999999E-2</v>
      </c>
      <c r="AT2">
        <v>8.01</v>
      </c>
      <c r="AU2">
        <v>-34.840000000000003</v>
      </c>
      <c r="AV2">
        <v>2.9999999999999997E-4</v>
      </c>
      <c r="AW2">
        <v>-0.14000000000000001</v>
      </c>
    </row>
    <row r="3" spans="1:49" x14ac:dyDescent="0.25">
      <c r="A3" t="s">
        <v>5</v>
      </c>
      <c r="B3" s="1">
        <v>45427</v>
      </c>
      <c r="E3">
        <v>0.82</v>
      </c>
      <c r="F3">
        <v>4.0000000000000002E-4</v>
      </c>
      <c r="G3">
        <v>-39.25</v>
      </c>
      <c r="H3">
        <v>9.2200000000000006</v>
      </c>
      <c r="I3">
        <v>0.192</v>
      </c>
      <c r="J3">
        <v>11029</v>
      </c>
      <c r="K3">
        <v>2638</v>
      </c>
      <c r="L3">
        <v>2822620</v>
      </c>
      <c r="M3">
        <v>25.02</v>
      </c>
      <c r="N3">
        <v>245.49999999999994</v>
      </c>
      <c r="O3">
        <v>355.5</v>
      </c>
      <c r="P3">
        <v>42390</v>
      </c>
      <c r="Q3">
        <v>5040</v>
      </c>
      <c r="R3">
        <v>446.2</v>
      </c>
      <c r="S3">
        <v>744</v>
      </c>
      <c r="T3">
        <v>216.5</v>
      </c>
      <c r="U3">
        <v>468.8</v>
      </c>
      <c r="V3">
        <v>60</v>
      </c>
      <c r="W3">
        <v>709.05</v>
      </c>
      <c r="X3">
        <v>718</v>
      </c>
      <c r="Y3">
        <v>15</v>
      </c>
      <c r="Z3">
        <v>714.3</v>
      </c>
      <c r="AA3">
        <v>47200</v>
      </c>
      <c r="AB3">
        <v>61.95</v>
      </c>
      <c r="AC3">
        <v>1080</v>
      </c>
      <c r="AD3">
        <v>60</v>
      </c>
      <c r="AE3">
        <v>61.95</v>
      </c>
      <c r="AF3">
        <v>60</v>
      </c>
      <c r="AG3">
        <v>217.5</v>
      </c>
      <c r="AH3">
        <v>434</v>
      </c>
      <c r="AI3">
        <v>57.8</v>
      </c>
      <c r="AJ3">
        <v>234.25</v>
      </c>
      <c r="AK3">
        <v>20805</v>
      </c>
      <c r="AL3">
        <v>193725</v>
      </c>
      <c r="AM3">
        <v>246.32</v>
      </c>
      <c r="AN3">
        <v>-172.3</v>
      </c>
      <c r="AO3">
        <v>18.04</v>
      </c>
      <c r="AP3">
        <v>4221372</v>
      </c>
      <c r="AQ3">
        <v>54522</v>
      </c>
      <c r="AR3">
        <v>81146</v>
      </c>
      <c r="AS3">
        <v>-4.7E-2</v>
      </c>
      <c r="AT3">
        <v>9.2200000000000006</v>
      </c>
      <c r="AU3">
        <v>-39.25</v>
      </c>
      <c r="AV3">
        <v>4.0000000000000002E-4</v>
      </c>
      <c r="AW3">
        <v>-0.18</v>
      </c>
    </row>
    <row r="4" spans="1:49" x14ac:dyDescent="0.25">
      <c r="A4" t="s">
        <v>6</v>
      </c>
      <c r="B4" s="2" t="s">
        <v>144</v>
      </c>
      <c r="E4">
        <v>0.79</v>
      </c>
      <c r="F4">
        <v>5.0000000000000001E-4</v>
      </c>
      <c r="G4">
        <v>-41.71</v>
      </c>
      <c r="H4">
        <v>10.28</v>
      </c>
      <c r="I4">
        <v>0.186</v>
      </c>
      <c r="J4">
        <v>16354</v>
      </c>
      <c r="K4">
        <v>-660</v>
      </c>
      <c r="L4">
        <v>3012431</v>
      </c>
      <c r="M4">
        <v>23.35</v>
      </c>
      <c r="N4">
        <v>210.85000000000002</v>
      </c>
      <c r="O4">
        <v>326.92</v>
      </c>
      <c r="P4">
        <v>79335</v>
      </c>
      <c r="Q4">
        <v>5145</v>
      </c>
      <c r="R4">
        <v>421.4</v>
      </c>
      <c r="S4">
        <v>661.9</v>
      </c>
      <c r="T4">
        <v>179.85</v>
      </c>
      <c r="U4">
        <v>411.15</v>
      </c>
      <c r="V4">
        <v>60</v>
      </c>
      <c r="W4">
        <v>625.04999999999995</v>
      </c>
      <c r="X4">
        <v>630</v>
      </c>
      <c r="Y4">
        <v>195</v>
      </c>
      <c r="Z4">
        <v>622</v>
      </c>
      <c r="AA4">
        <v>47300</v>
      </c>
      <c r="AB4">
        <v>74.75</v>
      </c>
      <c r="AC4">
        <v>375</v>
      </c>
      <c r="AD4">
        <v>74.75</v>
      </c>
      <c r="AE4">
        <v>76.95</v>
      </c>
      <c r="AF4">
        <v>45</v>
      </c>
      <c r="AG4">
        <v>262.2</v>
      </c>
      <c r="AH4">
        <v>495.2</v>
      </c>
      <c r="AI4">
        <v>71.75</v>
      </c>
      <c r="AJ4">
        <v>275.10000000000002</v>
      </c>
      <c r="AK4">
        <v>72225</v>
      </c>
      <c r="AL4">
        <v>119670</v>
      </c>
      <c r="AM4">
        <v>273.25</v>
      </c>
      <c r="AN4">
        <v>-200.35000000000002</v>
      </c>
      <c r="AO4">
        <v>17.32</v>
      </c>
      <c r="AP4">
        <v>3629825</v>
      </c>
      <c r="AQ4">
        <v>28430</v>
      </c>
      <c r="AR4">
        <v>54660</v>
      </c>
      <c r="AS4">
        <v>-5.6000000000000001E-2</v>
      </c>
      <c r="AT4">
        <v>10.28</v>
      </c>
      <c r="AU4">
        <v>-41.71</v>
      </c>
      <c r="AV4">
        <v>5.0000000000000001E-4</v>
      </c>
      <c r="AW4">
        <v>-0.21</v>
      </c>
    </row>
    <row r="5" spans="1:49" x14ac:dyDescent="0.25">
      <c r="A5" t="s">
        <v>7</v>
      </c>
      <c r="B5">
        <v>47754.1</v>
      </c>
      <c r="C5">
        <v>48075</v>
      </c>
      <c r="E5">
        <v>0.74</v>
      </c>
      <c r="F5">
        <v>5.0000000000000001E-4</v>
      </c>
      <c r="G5">
        <v>-46.12</v>
      </c>
      <c r="H5">
        <v>11.53</v>
      </c>
      <c r="I5">
        <v>0.17699999999999999</v>
      </c>
      <c r="J5">
        <v>22263</v>
      </c>
      <c r="K5">
        <v>-12089</v>
      </c>
      <c r="L5">
        <v>3299911</v>
      </c>
      <c r="M5">
        <v>22.6</v>
      </c>
      <c r="N5">
        <v>186.60000000000002</v>
      </c>
      <c r="O5">
        <v>296.58</v>
      </c>
      <c r="P5">
        <v>277500</v>
      </c>
      <c r="Q5">
        <v>24105</v>
      </c>
      <c r="R5">
        <v>351</v>
      </c>
      <c r="S5">
        <v>584.1</v>
      </c>
      <c r="T5">
        <v>149.75</v>
      </c>
      <c r="U5">
        <v>356.4</v>
      </c>
      <c r="V5">
        <v>45</v>
      </c>
      <c r="W5">
        <v>543</v>
      </c>
      <c r="X5">
        <v>550</v>
      </c>
      <c r="Y5">
        <v>180</v>
      </c>
      <c r="Z5">
        <v>543</v>
      </c>
      <c r="AA5">
        <v>47400</v>
      </c>
      <c r="AB5">
        <v>97.6</v>
      </c>
      <c r="AC5">
        <v>555</v>
      </c>
      <c r="AD5">
        <v>95</v>
      </c>
      <c r="AE5">
        <v>97.6</v>
      </c>
      <c r="AF5">
        <v>30</v>
      </c>
      <c r="AG5">
        <v>306.10000000000002</v>
      </c>
      <c r="AH5">
        <v>564.4</v>
      </c>
      <c r="AI5">
        <v>90.2</v>
      </c>
      <c r="AJ5">
        <v>320.85000000000002</v>
      </c>
      <c r="AK5">
        <v>32865</v>
      </c>
      <c r="AL5">
        <v>81690</v>
      </c>
      <c r="AM5">
        <v>301.42</v>
      </c>
      <c r="AN5">
        <v>-223.25000000000003</v>
      </c>
      <c r="AO5">
        <v>17.2</v>
      </c>
      <c r="AP5">
        <v>3143630</v>
      </c>
      <c r="AQ5">
        <v>31522</v>
      </c>
      <c r="AR5">
        <v>72541</v>
      </c>
      <c r="AS5">
        <v>-6.9000000000000006E-2</v>
      </c>
      <c r="AT5">
        <v>11.53</v>
      </c>
      <c r="AU5">
        <v>-46.12</v>
      </c>
      <c r="AV5">
        <v>5.0000000000000001E-4</v>
      </c>
      <c r="AW5">
        <v>-0.26</v>
      </c>
    </row>
    <row r="6" spans="1:49" x14ac:dyDescent="0.25">
      <c r="A6" t="s">
        <v>8</v>
      </c>
      <c r="B6">
        <v>47389.8</v>
      </c>
      <c r="C6">
        <v>47600</v>
      </c>
      <c r="E6">
        <v>0.69</v>
      </c>
      <c r="F6">
        <v>5.9999999999999995E-4</v>
      </c>
      <c r="G6">
        <v>-48.01</v>
      </c>
      <c r="H6">
        <v>12.54</v>
      </c>
      <c r="I6">
        <v>0.16600000000000001</v>
      </c>
      <c r="J6">
        <v>94421</v>
      </c>
      <c r="K6">
        <v>-9678</v>
      </c>
      <c r="L6">
        <v>5080361</v>
      </c>
      <c r="M6">
        <v>22.06</v>
      </c>
      <c r="N6">
        <v>162.94999999999999</v>
      </c>
      <c r="O6">
        <v>266.11</v>
      </c>
      <c r="P6">
        <v>75960</v>
      </c>
      <c r="Q6">
        <v>47700</v>
      </c>
      <c r="R6">
        <v>294.64999999999998</v>
      </c>
      <c r="S6">
        <v>512</v>
      </c>
      <c r="T6">
        <v>123.35</v>
      </c>
      <c r="U6">
        <v>307.2</v>
      </c>
      <c r="V6">
        <v>75</v>
      </c>
      <c r="W6">
        <v>470.15</v>
      </c>
      <c r="X6">
        <v>474</v>
      </c>
      <c r="Y6">
        <v>555</v>
      </c>
      <c r="Z6">
        <v>470.15</v>
      </c>
      <c r="AA6">
        <v>47500</v>
      </c>
      <c r="AB6">
        <v>120</v>
      </c>
      <c r="AC6">
        <v>120</v>
      </c>
      <c r="AD6">
        <v>120</v>
      </c>
      <c r="AE6">
        <v>123</v>
      </c>
      <c r="AF6">
        <v>315</v>
      </c>
      <c r="AG6">
        <v>390</v>
      </c>
      <c r="AH6">
        <v>638.79999999999995</v>
      </c>
      <c r="AI6">
        <v>114</v>
      </c>
      <c r="AJ6">
        <v>370.9</v>
      </c>
      <c r="AK6">
        <v>40800</v>
      </c>
      <c r="AL6">
        <v>163800</v>
      </c>
      <c r="AM6">
        <v>318.97000000000003</v>
      </c>
      <c r="AN6">
        <v>-250.89999999999998</v>
      </c>
      <c r="AO6">
        <v>16.63</v>
      </c>
      <c r="AP6">
        <v>3563424</v>
      </c>
      <c r="AQ6">
        <v>6298</v>
      </c>
      <c r="AR6">
        <v>126628</v>
      </c>
      <c r="AS6">
        <v>-8.3000000000000004E-2</v>
      </c>
      <c r="AT6">
        <v>12.54</v>
      </c>
      <c r="AU6">
        <v>-48.01</v>
      </c>
      <c r="AV6">
        <v>5.9999999999999995E-4</v>
      </c>
      <c r="AW6">
        <v>-0.31</v>
      </c>
    </row>
    <row r="7" spans="1:49" x14ac:dyDescent="0.25">
      <c r="A7" t="s">
        <v>9</v>
      </c>
      <c r="B7">
        <v>47841.599999999999</v>
      </c>
      <c r="C7">
        <v>48075</v>
      </c>
      <c r="E7">
        <v>0.63</v>
      </c>
      <c r="F7">
        <v>6.9999999999999999E-4</v>
      </c>
      <c r="G7">
        <v>-49.53</v>
      </c>
      <c r="H7">
        <v>13.4</v>
      </c>
      <c r="I7">
        <v>0.154</v>
      </c>
      <c r="J7">
        <v>38601</v>
      </c>
      <c r="K7">
        <v>-12900</v>
      </c>
      <c r="L7">
        <v>2599710</v>
      </c>
      <c r="M7">
        <v>21.78</v>
      </c>
      <c r="N7">
        <v>142.39999999999998</v>
      </c>
      <c r="O7">
        <v>244.09</v>
      </c>
      <c r="P7">
        <v>42630</v>
      </c>
      <c r="Q7">
        <v>26370</v>
      </c>
      <c r="R7">
        <v>273.95</v>
      </c>
      <c r="S7">
        <v>443.1</v>
      </c>
      <c r="T7">
        <v>102</v>
      </c>
      <c r="U7">
        <v>262.60000000000002</v>
      </c>
      <c r="V7">
        <v>45</v>
      </c>
      <c r="W7">
        <v>400.05</v>
      </c>
      <c r="X7">
        <v>405</v>
      </c>
      <c r="Y7">
        <v>1140</v>
      </c>
      <c r="Z7">
        <v>405</v>
      </c>
      <c r="AA7">
        <v>47600</v>
      </c>
      <c r="AB7">
        <v>150</v>
      </c>
      <c r="AC7">
        <v>45</v>
      </c>
      <c r="AD7">
        <v>150</v>
      </c>
      <c r="AE7">
        <v>152</v>
      </c>
      <c r="AF7">
        <v>900</v>
      </c>
      <c r="AG7">
        <v>535</v>
      </c>
      <c r="AH7">
        <v>716.1</v>
      </c>
      <c r="AI7">
        <v>143.5</v>
      </c>
      <c r="AJ7">
        <v>427.85</v>
      </c>
      <c r="AK7">
        <v>26610</v>
      </c>
      <c r="AL7">
        <v>71865</v>
      </c>
      <c r="AM7">
        <v>331.16</v>
      </c>
      <c r="AN7">
        <v>-277.85000000000002</v>
      </c>
      <c r="AO7">
        <v>16.260000000000002</v>
      </c>
      <c r="AP7">
        <v>1379251</v>
      </c>
      <c r="AQ7">
        <v>7069</v>
      </c>
      <c r="AR7">
        <v>47250</v>
      </c>
      <c r="AS7">
        <v>-9.9000000000000005E-2</v>
      </c>
      <c r="AT7">
        <v>13.4</v>
      </c>
      <c r="AU7">
        <v>-49.53</v>
      </c>
      <c r="AV7">
        <v>6.9999999999999999E-4</v>
      </c>
      <c r="AW7">
        <v>-0.37</v>
      </c>
    </row>
    <row r="8" spans="1:49" x14ac:dyDescent="0.25">
      <c r="A8" t="s">
        <v>10</v>
      </c>
      <c r="B8">
        <v>46983.25</v>
      </c>
      <c r="C8">
        <v>47200</v>
      </c>
      <c r="E8">
        <v>0.56000000000000005</v>
      </c>
      <c r="F8">
        <v>6.9999999999999999E-4</v>
      </c>
      <c r="G8">
        <v>-50.37</v>
      </c>
      <c r="H8">
        <v>13.95</v>
      </c>
      <c r="I8">
        <v>0.14099999999999999</v>
      </c>
      <c r="J8">
        <v>46019</v>
      </c>
      <c r="K8">
        <v>-5390</v>
      </c>
      <c r="L8">
        <v>2862137</v>
      </c>
      <c r="M8">
        <v>21.23</v>
      </c>
      <c r="N8">
        <v>117.30000000000001</v>
      </c>
      <c r="O8">
        <v>234.63</v>
      </c>
      <c r="P8">
        <v>68280</v>
      </c>
      <c r="Q8">
        <v>55515</v>
      </c>
      <c r="R8">
        <v>213.75</v>
      </c>
      <c r="S8">
        <v>380</v>
      </c>
      <c r="T8">
        <v>83.8</v>
      </c>
      <c r="U8">
        <v>223.7</v>
      </c>
      <c r="V8">
        <v>45</v>
      </c>
      <c r="W8">
        <v>337.05</v>
      </c>
      <c r="X8">
        <v>341</v>
      </c>
      <c r="Y8">
        <v>75</v>
      </c>
      <c r="Z8">
        <v>341</v>
      </c>
      <c r="AA8">
        <v>47700</v>
      </c>
      <c r="AB8">
        <v>189.2</v>
      </c>
      <c r="AC8">
        <v>15</v>
      </c>
      <c r="AD8">
        <v>186.1</v>
      </c>
      <c r="AE8">
        <v>189.2</v>
      </c>
      <c r="AF8">
        <v>225</v>
      </c>
      <c r="AG8">
        <v>462.35</v>
      </c>
      <c r="AH8">
        <v>797.55</v>
      </c>
      <c r="AI8">
        <v>180</v>
      </c>
      <c r="AJ8">
        <v>487.7</v>
      </c>
      <c r="AK8">
        <v>40890</v>
      </c>
      <c r="AL8">
        <v>98775</v>
      </c>
      <c r="AM8">
        <v>313.79000000000002</v>
      </c>
      <c r="AN8">
        <v>-298.5</v>
      </c>
      <c r="AO8">
        <v>16.11</v>
      </c>
      <c r="AP8">
        <v>1477721</v>
      </c>
      <c r="AQ8">
        <v>27611</v>
      </c>
      <c r="AR8">
        <v>54008</v>
      </c>
      <c r="AS8">
        <v>-0.11700000000000001</v>
      </c>
      <c r="AT8">
        <v>13.95</v>
      </c>
      <c r="AU8">
        <v>-50.37</v>
      </c>
      <c r="AV8">
        <v>6.9999999999999999E-4</v>
      </c>
      <c r="AW8">
        <v>-0.44</v>
      </c>
    </row>
    <row r="9" spans="1:49" x14ac:dyDescent="0.25">
      <c r="A9" t="s">
        <v>11</v>
      </c>
      <c r="B9">
        <v>47421.1</v>
      </c>
      <c r="C9">
        <v>47607.25</v>
      </c>
      <c r="E9">
        <v>0.49</v>
      </c>
      <c r="F9">
        <v>6.9999999999999999E-4</v>
      </c>
      <c r="G9">
        <v>-48.2</v>
      </c>
      <c r="H9">
        <v>14.1</v>
      </c>
      <c r="I9">
        <v>0.127</v>
      </c>
      <c r="J9">
        <v>107607</v>
      </c>
      <c r="K9">
        <v>7068</v>
      </c>
      <c r="L9">
        <v>3258363</v>
      </c>
      <c r="M9">
        <v>20.56</v>
      </c>
      <c r="N9">
        <v>91.200000000000017</v>
      </c>
      <c r="O9">
        <v>189.4</v>
      </c>
      <c r="P9">
        <v>184365</v>
      </c>
      <c r="Q9">
        <v>106890</v>
      </c>
      <c r="R9">
        <v>184.5</v>
      </c>
      <c r="S9">
        <v>323</v>
      </c>
      <c r="T9">
        <v>69.55</v>
      </c>
      <c r="U9">
        <v>189.1</v>
      </c>
      <c r="V9">
        <v>270</v>
      </c>
      <c r="W9">
        <v>280.3</v>
      </c>
      <c r="X9">
        <v>286</v>
      </c>
      <c r="Y9">
        <v>2670</v>
      </c>
      <c r="Z9">
        <v>280.3</v>
      </c>
      <c r="AA9">
        <v>47800</v>
      </c>
      <c r="AB9">
        <v>230</v>
      </c>
      <c r="AC9">
        <v>825</v>
      </c>
      <c r="AD9">
        <v>230</v>
      </c>
      <c r="AE9">
        <v>233</v>
      </c>
      <c r="AF9">
        <v>120</v>
      </c>
      <c r="AG9">
        <v>542.04999999999995</v>
      </c>
      <c r="AH9">
        <v>883.95</v>
      </c>
      <c r="AI9">
        <v>222.2</v>
      </c>
      <c r="AJ9">
        <v>554.79999999999995</v>
      </c>
      <c r="AK9">
        <v>38325</v>
      </c>
      <c r="AL9">
        <v>61725</v>
      </c>
      <c r="AM9">
        <v>343.29</v>
      </c>
      <c r="AN9">
        <v>-324.79999999999995</v>
      </c>
      <c r="AO9">
        <v>15.6</v>
      </c>
      <c r="AP9">
        <v>1134447</v>
      </c>
      <c r="AQ9">
        <v>26586</v>
      </c>
      <c r="AR9">
        <v>75500</v>
      </c>
      <c r="AS9">
        <v>-0.13500000000000001</v>
      </c>
      <c r="AT9">
        <v>14.1</v>
      </c>
      <c r="AU9">
        <v>-48.2</v>
      </c>
      <c r="AV9">
        <v>6.9999999999999999E-4</v>
      </c>
      <c r="AW9">
        <v>-0.51</v>
      </c>
    </row>
    <row r="10" spans="1:49" x14ac:dyDescent="0.25">
      <c r="A10" t="s">
        <v>12</v>
      </c>
      <c r="B10">
        <v>156036</v>
      </c>
      <c r="E10">
        <v>0.41</v>
      </c>
      <c r="F10">
        <v>6.9999999999999999E-4</v>
      </c>
      <c r="G10">
        <v>-44.34</v>
      </c>
      <c r="H10">
        <v>13.77</v>
      </c>
      <c r="I10">
        <v>0.113</v>
      </c>
      <c r="J10">
        <v>60379</v>
      </c>
      <c r="K10">
        <v>6666</v>
      </c>
      <c r="L10">
        <v>2055597</v>
      </c>
      <c r="M10">
        <v>20.34</v>
      </c>
      <c r="N10">
        <v>72.25</v>
      </c>
      <c r="O10">
        <v>149.05000000000001</v>
      </c>
      <c r="P10">
        <v>93330</v>
      </c>
      <c r="Q10">
        <v>83955</v>
      </c>
      <c r="R10">
        <v>154.75</v>
      </c>
      <c r="S10">
        <v>271.55</v>
      </c>
      <c r="T10">
        <v>57.15</v>
      </c>
      <c r="U10">
        <v>159.1</v>
      </c>
      <c r="V10">
        <v>390</v>
      </c>
      <c r="W10">
        <v>230.2</v>
      </c>
      <c r="X10">
        <v>235</v>
      </c>
      <c r="Y10">
        <v>2790</v>
      </c>
      <c r="Z10">
        <v>231.35</v>
      </c>
      <c r="AA10">
        <v>47900</v>
      </c>
      <c r="AB10">
        <v>278.75</v>
      </c>
      <c r="AC10">
        <v>375</v>
      </c>
      <c r="AD10">
        <v>278.39999999999998</v>
      </c>
      <c r="AE10">
        <v>283.95</v>
      </c>
      <c r="AF10">
        <v>30</v>
      </c>
      <c r="AG10">
        <v>630</v>
      </c>
      <c r="AH10">
        <v>970.7</v>
      </c>
      <c r="AI10">
        <v>270</v>
      </c>
      <c r="AJ10">
        <v>626.35</v>
      </c>
      <c r="AK10">
        <v>29085</v>
      </c>
      <c r="AL10">
        <v>22635</v>
      </c>
      <c r="AM10">
        <v>406.58</v>
      </c>
      <c r="AN10">
        <v>-347.6</v>
      </c>
      <c r="AO10">
        <v>15.13</v>
      </c>
      <c r="AP10">
        <v>406733</v>
      </c>
      <c r="AQ10">
        <v>10033</v>
      </c>
      <c r="AR10">
        <v>25328</v>
      </c>
      <c r="AS10">
        <v>-0.155</v>
      </c>
      <c r="AT10">
        <v>13.77</v>
      </c>
      <c r="AU10">
        <v>-44.34</v>
      </c>
      <c r="AV10">
        <v>6.9999999999999999E-4</v>
      </c>
      <c r="AW10">
        <v>-0.59</v>
      </c>
    </row>
    <row r="11" spans="1:49" x14ac:dyDescent="0.25">
      <c r="A11" t="s">
        <v>13</v>
      </c>
      <c r="B11">
        <v>48000</v>
      </c>
      <c r="E11">
        <v>0.34</v>
      </c>
      <c r="F11">
        <v>6.9999999999999999E-4</v>
      </c>
      <c r="G11">
        <v>-39.409999999999997</v>
      </c>
      <c r="H11">
        <v>12.96</v>
      </c>
      <c r="I11">
        <v>9.9000000000000005E-2</v>
      </c>
      <c r="J11">
        <v>195915</v>
      </c>
      <c r="K11">
        <v>-27620</v>
      </c>
      <c r="L11">
        <v>4419965</v>
      </c>
      <c r="M11">
        <v>20.21</v>
      </c>
      <c r="N11">
        <v>56.649999999999977</v>
      </c>
      <c r="O11">
        <v>123.08</v>
      </c>
      <c r="P11">
        <v>214740</v>
      </c>
      <c r="Q11">
        <v>341850</v>
      </c>
      <c r="R11">
        <v>114.95</v>
      </c>
      <c r="S11">
        <v>226.9</v>
      </c>
      <c r="T11">
        <v>47.1</v>
      </c>
      <c r="U11">
        <v>132.55000000000001</v>
      </c>
      <c r="V11">
        <v>630</v>
      </c>
      <c r="W11">
        <v>187</v>
      </c>
      <c r="X11">
        <v>192</v>
      </c>
      <c r="Y11">
        <v>2940</v>
      </c>
      <c r="Z11">
        <v>189.2</v>
      </c>
      <c r="AA11">
        <v>48000</v>
      </c>
      <c r="AB11">
        <v>337.85</v>
      </c>
      <c r="AC11">
        <v>330</v>
      </c>
      <c r="AD11">
        <v>334</v>
      </c>
      <c r="AE11">
        <v>337.85</v>
      </c>
      <c r="AF11">
        <v>75</v>
      </c>
      <c r="AG11">
        <v>745</v>
      </c>
      <c r="AH11">
        <v>1062</v>
      </c>
      <c r="AI11">
        <v>325</v>
      </c>
      <c r="AJ11">
        <v>696.95</v>
      </c>
      <c r="AK11">
        <v>46920</v>
      </c>
      <c r="AL11">
        <v>29280</v>
      </c>
      <c r="AM11">
        <v>538.05999999999995</v>
      </c>
      <c r="AN11">
        <v>-359.1</v>
      </c>
      <c r="AO11">
        <v>14.86</v>
      </c>
      <c r="AP11">
        <v>636278</v>
      </c>
      <c r="AQ11">
        <v>-3874</v>
      </c>
      <c r="AR11">
        <v>86266</v>
      </c>
      <c r="AS11">
        <v>-0.17399999999999999</v>
      </c>
      <c r="AT11">
        <v>12.96</v>
      </c>
      <c r="AU11">
        <v>-39.409999999999997</v>
      </c>
      <c r="AV11">
        <v>6.9999999999999999E-4</v>
      </c>
      <c r="AW11">
        <v>-0.66</v>
      </c>
    </row>
    <row r="12" spans="1:49" x14ac:dyDescent="0.25">
      <c r="A12" t="s">
        <v>14</v>
      </c>
      <c r="B12">
        <v>189.2</v>
      </c>
      <c r="C12">
        <v>337.85</v>
      </c>
      <c r="E12">
        <v>0.33</v>
      </c>
      <c r="F12">
        <v>5.0000000000000001E-4</v>
      </c>
      <c r="G12">
        <v>-55.7</v>
      </c>
      <c r="H12">
        <v>12.81</v>
      </c>
      <c r="I12">
        <v>8.5999999999999993E-2</v>
      </c>
      <c r="J12">
        <v>60430</v>
      </c>
      <c r="K12">
        <v>-6754</v>
      </c>
      <c r="L12">
        <v>1611630</v>
      </c>
      <c r="M12">
        <v>20.18</v>
      </c>
      <c r="N12">
        <v>43.399999999999991</v>
      </c>
      <c r="O12">
        <v>98.02</v>
      </c>
      <c r="P12">
        <v>100500</v>
      </c>
      <c r="Q12">
        <v>115140</v>
      </c>
      <c r="R12">
        <v>105.55</v>
      </c>
      <c r="S12">
        <v>187.1</v>
      </c>
      <c r="T12">
        <v>39</v>
      </c>
      <c r="U12">
        <v>110.3</v>
      </c>
      <c r="V12">
        <v>15</v>
      </c>
      <c r="W12">
        <v>150.05000000000001</v>
      </c>
      <c r="X12">
        <v>153.69999999999999</v>
      </c>
      <c r="Y12">
        <v>75</v>
      </c>
      <c r="Z12">
        <v>153.69999999999999</v>
      </c>
      <c r="AA12">
        <v>48100</v>
      </c>
      <c r="AB12">
        <v>399</v>
      </c>
      <c r="AC12">
        <v>60</v>
      </c>
      <c r="AD12">
        <v>398.45</v>
      </c>
      <c r="AE12">
        <v>399.7</v>
      </c>
      <c r="AF12">
        <v>135</v>
      </c>
      <c r="AG12">
        <v>778</v>
      </c>
      <c r="AH12">
        <v>1152.4000000000001</v>
      </c>
      <c r="AI12">
        <v>384.65</v>
      </c>
      <c r="AJ12">
        <v>774.35</v>
      </c>
      <c r="AK12">
        <v>24450</v>
      </c>
      <c r="AL12">
        <v>8850</v>
      </c>
      <c r="AM12">
        <v>562.33000000000004</v>
      </c>
      <c r="AN12">
        <v>-375.35</v>
      </c>
      <c r="AO12">
        <v>14.13</v>
      </c>
      <c r="AP12">
        <v>121930</v>
      </c>
      <c r="AQ12">
        <v>3712</v>
      </c>
      <c r="AR12">
        <v>25451</v>
      </c>
      <c r="AS12">
        <v>-0.19500000000000001</v>
      </c>
      <c r="AT12">
        <v>12.81</v>
      </c>
      <c r="AU12">
        <v>-55.7</v>
      </c>
      <c r="AV12">
        <v>5.0000000000000001E-4</v>
      </c>
      <c r="AW12">
        <v>-0.67</v>
      </c>
    </row>
    <row r="13" spans="1:49" x14ac:dyDescent="0.25">
      <c r="A13" t="s">
        <v>15</v>
      </c>
      <c r="B13">
        <v>48100</v>
      </c>
      <c r="E13">
        <v>0.28000000000000003</v>
      </c>
      <c r="F13">
        <v>5.0000000000000001E-4</v>
      </c>
      <c r="G13">
        <v>-48.89</v>
      </c>
      <c r="H13">
        <v>11.84</v>
      </c>
      <c r="I13">
        <v>7.1999999999999995E-2</v>
      </c>
      <c r="J13">
        <v>111383</v>
      </c>
      <c r="K13">
        <v>10937</v>
      </c>
      <c r="L13">
        <v>1834280</v>
      </c>
      <c r="M13">
        <v>19.75</v>
      </c>
      <c r="N13">
        <v>27.5</v>
      </c>
      <c r="O13">
        <v>80.95</v>
      </c>
      <c r="P13">
        <v>105510</v>
      </c>
      <c r="Q13">
        <v>116880</v>
      </c>
      <c r="R13">
        <v>90</v>
      </c>
      <c r="S13">
        <v>153.85</v>
      </c>
      <c r="T13">
        <v>32.35</v>
      </c>
      <c r="U13">
        <v>91.15</v>
      </c>
      <c r="V13">
        <v>360</v>
      </c>
      <c r="W13">
        <v>118.65</v>
      </c>
      <c r="X13">
        <v>120.8</v>
      </c>
      <c r="Y13">
        <v>240</v>
      </c>
      <c r="Z13">
        <v>118.65</v>
      </c>
      <c r="AA13">
        <v>48200</v>
      </c>
      <c r="AB13">
        <v>468.05</v>
      </c>
      <c r="AC13">
        <v>150</v>
      </c>
      <c r="AD13">
        <v>468</v>
      </c>
      <c r="AE13">
        <v>468.95</v>
      </c>
      <c r="AF13">
        <v>390</v>
      </c>
      <c r="AG13">
        <v>862</v>
      </c>
      <c r="AH13">
        <v>1246.8499999999999</v>
      </c>
      <c r="AI13">
        <v>451</v>
      </c>
      <c r="AJ13">
        <v>855.8</v>
      </c>
      <c r="AK13">
        <v>24990</v>
      </c>
      <c r="AL13">
        <v>5565</v>
      </c>
      <c r="AM13">
        <v>669.15</v>
      </c>
      <c r="AN13">
        <v>-387.74999999999994</v>
      </c>
      <c r="AO13">
        <v>13.31</v>
      </c>
      <c r="AP13">
        <v>66713</v>
      </c>
      <c r="AQ13">
        <v>-2115</v>
      </c>
      <c r="AR13">
        <v>32350</v>
      </c>
      <c r="AS13">
        <v>-0.215</v>
      </c>
      <c r="AT13">
        <v>11.84</v>
      </c>
      <c r="AU13">
        <v>-48.89</v>
      </c>
      <c r="AV13">
        <v>5.0000000000000001E-4</v>
      </c>
      <c r="AW13">
        <v>-0.72</v>
      </c>
    </row>
    <row r="14" spans="1:49" x14ac:dyDescent="0.25">
      <c r="A14" t="s">
        <v>16</v>
      </c>
      <c r="B14">
        <v>153.69999999999999</v>
      </c>
      <c r="C14">
        <v>399</v>
      </c>
      <c r="E14">
        <v>0.23</v>
      </c>
      <c r="F14">
        <v>4.0000000000000002E-4</v>
      </c>
      <c r="G14">
        <v>-42.99</v>
      </c>
      <c r="H14">
        <v>10.78</v>
      </c>
      <c r="I14">
        <v>0.06</v>
      </c>
      <c r="J14">
        <v>80806</v>
      </c>
      <c r="K14">
        <v>2801</v>
      </c>
      <c r="L14">
        <v>1558598</v>
      </c>
      <c r="M14">
        <v>19.739999999999998</v>
      </c>
      <c r="N14">
        <v>18.349999999999994</v>
      </c>
      <c r="O14">
        <v>67.95</v>
      </c>
      <c r="P14">
        <v>79890</v>
      </c>
      <c r="Q14">
        <v>127110</v>
      </c>
      <c r="R14">
        <v>65</v>
      </c>
      <c r="S14">
        <v>125.95</v>
      </c>
      <c r="T14">
        <v>27</v>
      </c>
      <c r="U14">
        <v>75.25</v>
      </c>
      <c r="V14">
        <v>375</v>
      </c>
      <c r="W14">
        <v>93.6</v>
      </c>
      <c r="X14">
        <v>95.3</v>
      </c>
      <c r="Y14">
        <v>3135</v>
      </c>
      <c r="Z14">
        <v>93.6</v>
      </c>
      <c r="AA14">
        <v>48300</v>
      </c>
      <c r="AB14">
        <v>540.04999999999995</v>
      </c>
      <c r="AC14">
        <v>15</v>
      </c>
      <c r="AD14">
        <v>540</v>
      </c>
      <c r="AE14">
        <v>544.9</v>
      </c>
      <c r="AF14">
        <v>30</v>
      </c>
      <c r="AG14">
        <v>867.45</v>
      </c>
      <c r="AH14">
        <v>1338.85</v>
      </c>
      <c r="AI14">
        <v>524.04999999999995</v>
      </c>
      <c r="AJ14">
        <v>937.75</v>
      </c>
      <c r="AK14">
        <v>41610</v>
      </c>
      <c r="AL14">
        <v>4005</v>
      </c>
      <c r="AM14">
        <v>765.68</v>
      </c>
      <c r="AN14">
        <v>-397.70000000000005</v>
      </c>
      <c r="AO14">
        <v>11.63</v>
      </c>
      <c r="AP14">
        <v>27501</v>
      </c>
      <c r="AQ14">
        <v>-1626</v>
      </c>
      <c r="AR14">
        <v>11996</v>
      </c>
      <c r="AS14">
        <v>-0.23699999999999999</v>
      </c>
      <c r="AT14">
        <v>10.78</v>
      </c>
      <c r="AU14">
        <v>-42.99</v>
      </c>
      <c r="AV14">
        <v>4.0000000000000002E-4</v>
      </c>
      <c r="AW14">
        <v>-0.77</v>
      </c>
    </row>
    <row r="15" spans="1:49" x14ac:dyDescent="0.25">
      <c r="A15" t="s">
        <v>17</v>
      </c>
      <c r="B15">
        <v>2846914</v>
      </c>
      <c r="C15">
        <v>2584448</v>
      </c>
      <c r="E15">
        <v>0.19</v>
      </c>
      <c r="F15">
        <v>4.0000000000000002E-4</v>
      </c>
      <c r="G15">
        <v>-36.880000000000003</v>
      </c>
      <c r="H15">
        <v>9.64</v>
      </c>
      <c r="I15">
        <v>0.05</v>
      </c>
      <c r="J15">
        <v>63307</v>
      </c>
      <c r="K15">
        <v>-2451</v>
      </c>
      <c r="L15">
        <v>1480717</v>
      </c>
      <c r="M15">
        <v>19.78</v>
      </c>
      <c r="N15">
        <v>11.599999999999994</v>
      </c>
      <c r="O15">
        <v>52.33</v>
      </c>
      <c r="P15">
        <v>96315</v>
      </c>
      <c r="Q15">
        <v>87405</v>
      </c>
      <c r="R15">
        <v>59.75</v>
      </c>
      <c r="S15">
        <v>102.2</v>
      </c>
      <c r="T15">
        <v>22.75</v>
      </c>
      <c r="U15">
        <v>61.7</v>
      </c>
      <c r="V15">
        <v>15</v>
      </c>
      <c r="W15">
        <v>73.05</v>
      </c>
      <c r="X15">
        <v>76.400000000000006</v>
      </c>
      <c r="Y15">
        <v>15</v>
      </c>
      <c r="Z15">
        <v>73.3</v>
      </c>
      <c r="AA15">
        <v>48400</v>
      </c>
      <c r="AB15">
        <v>622.20000000000005</v>
      </c>
      <c r="AC15">
        <v>15</v>
      </c>
      <c r="AD15">
        <v>616.45000000000005</v>
      </c>
      <c r="AE15">
        <v>624</v>
      </c>
      <c r="AF15">
        <v>15</v>
      </c>
      <c r="AG15">
        <v>1080</v>
      </c>
      <c r="AH15">
        <v>1437.15</v>
      </c>
      <c r="AI15">
        <v>605.25</v>
      </c>
      <c r="AJ15">
        <v>1025.8</v>
      </c>
      <c r="AK15">
        <v>32835</v>
      </c>
      <c r="AL15">
        <v>3210</v>
      </c>
      <c r="AM15">
        <v>846.63</v>
      </c>
      <c r="AN15">
        <v>-403.59999999999991</v>
      </c>
      <c r="AO15">
        <v>8.8000000000000007</v>
      </c>
      <c r="AP15">
        <v>16061</v>
      </c>
      <c r="AQ15">
        <v>-518</v>
      </c>
      <c r="AR15">
        <v>6298</v>
      </c>
      <c r="AS15">
        <v>-0.25900000000000001</v>
      </c>
      <c r="AT15">
        <v>9.64</v>
      </c>
      <c r="AU15">
        <v>-36.880000000000003</v>
      </c>
      <c r="AV15">
        <v>4.0000000000000002E-4</v>
      </c>
      <c r="AW15">
        <v>-0.81</v>
      </c>
    </row>
    <row r="16" spans="1:49" x14ac:dyDescent="0.25">
      <c r="A16" t="s">
        <v>18</v>
      </c>
      <c r="B16">
        <v>-211477</v>
      </c>
      <c r="C16">
        <v>586536</v>
      </c>
      <c r="E16">
        <v>0.16</v>
      </c>
      <c r="F16">
        <v>2.9999999999999997E-4</v>
      </c>
      <c r="G16">
        <v>-31.31</v>
      </c>
      <c r="H16">
        <v>8.52</v>
      </c>
      <c r="I16">
        <v>4.1000000000000002E-2</v>
      </c>
      <c r="J16">
        <v>135760</v>
      </c>
      <c r="K16">
        <v>3655</v>
      </c>
      <c r="L16">
        <v>2539637</v>
      </c>
      <c r="M16">
        <v>19.97</v>
      </c>
      <c r="N16">
        <v>6.75</v>
      </c>
      <c r="O16">
        <v>41.17</v>
      </c>
      <c r="P16">
        <v>129225</v>
      </c>
      <c r="Q16">
        <v>163455</v>
      </c>
      <c r="R16">
        <v>47</v>
      </c>
      <c r="S16">
        <v>82.4</v>
      </c>
      <c r="T16">
        <v>19.2</v>
      </c>
      <c r="U16">
        <v>51.25</v>
      </c>
      <c r="V16">
        <v>15</v>
      </c>
      <c r="W16">
        <v>57.2</v>
      </c>
      <c r="X16">
        <v>58</v>
      </c>
      <c r="Y16">
        <v>15</v>
      </c>
      <c r="Z16">
        <v>58</v>
      </c>
      <c r="AA16">
        <v>48500</v>
      </c>
      <c r="AB16">
        <v>700.7</v>
      </c>
      <c r="AC16">
        <v>120</v>
      </c>
      <c r="AD16">
        <v>702</v>
      </c>
      <c r="AE16">
        <v>709</v>
      </c>
      <c r="AF16">
        <v>120</v>
      </c>
      <c r="AG16">
        <v>1135.95</v>
      </c>
      <c r="AH16">
        <v>1530.85</v>
      </c>
      <c r="AI16">
        <v>684.25</v>
      </c>
      <c r="AJ16">
        <v>1114.3499999999999</v>
      </c>
      <c r="AK16">
        <v>39810</v>
      </c>
      <c r="AL16">
        <v>5535</v>
      </c>
      <c r="AM16">
        <v>1007.92</v>
      </c>
      <c r="AN16">
        <v>-413.64999999999986</v>
      </c>
      <c r="AO16">
        <v>0</v>
      </c>
      <c r="AP16">
        <v>47304</v>
      </c>
      <c r="AQ16">
        <v>-2847</v>
      </c>
      <c r="AR16">
        <v>19694</v>
      </c>
      <c r="AS16">
        <v>-0.26600000000000001</v>
      </c>
      <c r="AT16">
        <v>8.52</v>
      </c>
      <c r="AU16">
        <v>-31.31</v>
      </c>
      <c r="AV16">
        <v>2.9999999999999997E-4</v>
      </c>
      <c r="AW16">
        <v>-0.84</v>
      </c>
    </row>
    <row r="17" spans="1:49" x14ac:dyDescent="0.25">
      <c r="A17" t="s">
        <v>19</v>
      </c>
      <c r="B17">
        <v>195915</v>
      </c>
      <c r="C17">
        <v>157009</v>
      </c>
      <c r="E17">
        <v>0.13</v>
      </c>
      <c r="F17">
        <v>2.9999999999999997E-4</v>
      </c>
      <c r="G17">
        <v>-25.47</v>
      </c>
      <c r="H17">
        <v>7.39</v>
      </c>
      <c r="I17">
        <v>3.3000000000000002E-2</v>
      </c>
      <c r="J17">
        <v>51894</v>
      </c>
      <c r="K17">
        <v>-7602</v>
      </c>
      <c r="L17">
        <v>1021265</v>
      </c>
      <c r="M17">
        <v>20.09</v>
      </c>
      <c r="N17">
        <v>2.6499999999999986</v>
      </c>
      <c r="O17">
        <v>33.69</v>
      </c>
      <c r="P17">
        <v>89820</v>
      </c>
      <c r="Q17">
        <v>58665</v>
      </c>
      <c r="R17">
        <v>39.450000000000003</v>
      </c>
      <c r="S17">
        <v>66.2</v>
      </c>
      <c r="T17">
        <v>15.9</v>
      </c>
      <c r="U17">
        <v>42.35</v>
      </c>
      <c r="V17">
        <v>60</v>
      </c>
      <c r="W17">
        <v>45</v>
      </c>
      <c r="X17">
        <v>46.7</v>
      </c>
      <c r="Y17">
        <v>375</v>
      </c>
      <c r="Z17">
        <v>45</v>
      </c>
      <c r="AA17">
        <v>48600</v>
      </c>
      <c r="AB17">
        <v>797.6</v>
      </c>
      <c r="AC17">
        <v>15</v>
      </c>
      <c r="AD17">
        <v>787.2</v>
      </c>
      <c r="AE17">
        <v>797</v>
      </c>
      <c r="AF17">
        <v>15</v>
      </c>
      <c r="AG17">
        <v>1209.5999999999999</v>
      </c>
      <c r="AH17">
        <v>1627.65</v>
      </c>
      <c r="AI17">
        <v>772.8</v>
      </c>
      <c r="AJ17">
        <v>1209.5999999999999</v>
      </c>
      <c r="AK17">
        <v>33345</v>
      </c>
      <c r="AL17">
        <v>2640</v>
      </c>
      <c r="AM17">
        <v>1038.47</v>
      </c>
      <c r="AN17">
        <v>-411.99999999999989</v>
      </c>
      <c r="AO17">
        <v>0</v>
      </c>
      <c r="AP17">
        <v>5807</v>
      </c>
      <c r="AQ17">
        <v>-613</v>
      </c>
      <c r="AR17">
        <v>3109</v>
      </c>
      <c r="AS17">
        <v>-0.26600000000000001</v>
      </c>
      <c r="AT17">
        <v>7.39</v>
      </c>
      <c r="AU17">
        <v>-25.47</v>
      </c>
      <c r="AV17">
        <v>2.9999999999999997E-4</v>
      </c>
      <c r="AW17">
        <v>-0.87</v>
      </c>
    </row>
    <row r="18" spans="1:49" x14ac:dyDescent="0.25">
      <c r="A18" t="s">
        <v>20</v>
      </c>
      <c r="B18">
        <v>48000</v>
      </c>
      <c r="C18">
        <v>47000</v>
      </c>
      <c r="E18">
        <v>0.1</v>
      </c>
      <c r="F18">
        <v>2.9999999999999997E-4</v>
      </c>
      <c r="G18">
        <v>-20.23</v>
      </c>
      <c r="H18">
        <v>6.36</v>
      </c>
      <c r="I18">
        <v>2.7E-2</v>
      </c>
      <c r="J18">
        <v>48373</v>
      </c>
      <c r="K18">
        <v>4986</v>
      </c>
      <c r="L18">
        <v>1020396</v>
      </c>
      <c r="M18">
        <v>20.28</v>
      </c>
      <c r="N18">
        <v>-0.39999999999999858</v>
      </c>
      <c r="O18">
        <v>26.6</v>
      </c>
      <c r="P18">
        <v>112710</v>
      </c>
      <c r="Q18">
        <v>78345</v>
      </c>
      <c r="R18">
        <v>31.35</v>
      </c>
      <c r="S18">
        <v>53.8</v>
      </c>
      <c r="T18">
        <v>13.55</v>
      </c>
      <c r="U18">
        <v>35.5</v>
      </c>
      <c r="V18">
        <v>105</v>
      </c>
      <c r="W18">
        <v>35.200000000000003</v>
      </c>
      <c r="X18">
        <v>36</v>
      </c>
      <c r="Y18">
        <v>945</v>
      </c>
      <c r="Z18">
        <v>35.1</v>
      </c>
      <c r="AA18">
        <v>48700</v>
      </c>
      <c r="AB18">
        <v>882.35</v>
      </c>
      <c r="AC18">
        <v>15</v>
      </c>
      <c r="AD18">
        <v>880.8</v>
      </c>
      <c r="AE18">
        <v>890.75</v>
      </c>
      <c r="AF18">
        <v>15</v>
      </c>
      <c r="AG18">
        <v>1445.25</v>
      </c>
      <c r="AH18">
        <v>1705</v>
      </c>
      <c r="AI18">
        <v>863</v>
      </c>
      <c r="AJ18">
        <v>1301.4000000000001</v>
      </c>
      <c r="AK18">
        <v>24510</v>
      </c>
      <c r="AL18">
        <v>3555</v>
      </c>
      <c r="AM18">
        <v>1056.82</v>
      </c>
      <c r="AN18">
        <v>-419.05000000000007</v>
      </c>
      <c r="AO18">
        <v>0</v>
      </c>
      <c r="AP18">
        <v>4122</v>
      </c>
      <c r="AQ18">
        <v>-603</v>
      </c>
      <c r="AR18">
        <v>3413</v>
      </c>
      <c r="AS18">
        <v>-0.26700000000000002</v>
      </c>
      <c r="AT18">
        <v>6.36</v>
      </c>
      <c r="AU18">
        <v>-20.23</v>
      </c>
      <c r="AV18">
        <v>2.9999999999999997E-4</v>
      </c>
      <c r="AW18">
        <v>-0.9</v>
      </c>
    </row>
    <row r="19" spans="1:49" x14ac:dyDescent="0.25">
      <c r="A19" t="s">
        <v>21</v>
      </c>
      <c r="B19">
        <v>189.2</v>
      </c>
      <c r="C19">
        <v>39.799999999999997</v>
      </c>
      <c r="E19">
        <v>0.08</v>
      </c>
      <c r="F19">
        <v>2.0000000000000001E-4</v>
      </c>
      <c r="G19">
        <v>-16.13</v>
      </c>
      <c r="H19">
        <v>5.5</v>
      </c>
      <c r="I19">
        <v>2.1999999999999999E-2</v>
      </c>
      <c r="J19">
        <v>53320</v>
      </c>
      <c r="K19">
        <v>7653</v>
      </c>
      <c r="L19">
        <v>951158</v>
      </c>
      <c r="M19">
        <v>20.66</v>
      </c>
      <c r="N19">
        <v>-1.8500000000000014</v>
      </c>
      <c r="O19">
        <v>21.99</v>
      </c>
      <c r="P19">
        <v>119325</v>
      </c>
      <c r="Q19">
        <v>38730</v>
      </c>
      <c r="R19">
        <v>27.65</v>
      </c>
      <c r="S19">
        <v>43.4</v>
      </c>
      <c r="T19">
        <v>11.55</v>
      </c>
      <c r="U19">
        <v>30.1</v>
      </c>
      <c r="V19">
        <v>30</v>
      </c>
      <c r="W19">
        <v>27.5</v>
      </c>
      <c r="X19">
        <v>28.55</v>
      </c>
      <c r="Y19">
        <v>390</v>
      </c>
      <c r="Z19">
        <v>28.25</v>
      </c>
      <c r="AA19">
        <v>48800</v>
      </c>
      <c r="AB19">
        <v>975.05</v>
      </c>
      <c r="AC19">
        <v>15</v>
      </c>
      <c r="AD19">
        <v>970.75</v>
      </c>
      <c r="AE19">
        <v>981.4</v>
      </c>
      <c r="AF19">
        <v>15</v>
      </c>
      <c r="AG19">
        <v>1398.15</v>
      </c>
      <c r="AH19">
        <v>1807</v>
      </c>
      <c r="AI19">
        <v>958</v>
      </c>
      <c r="AJ19">
        <v>1398.15</v>
      </c>
      <c r="AK19">
        <v>21645</v>
      </c>
      <c r="AL19">
        <v>2670</v>
      </c>
      <c r="AM19">
        <v>1195.6500000000001</v>
      </c>
      <c r="AN19">
        <v>-423.10000000000014</v>
      </c>
      <c r="AO19">
        <v>0</v>
      </c>
      <c r="AP19">
        <v>2008</v>
      </c>
      <c r="AQ19">
        <v>-310</v>
      </c>
      <c r="AR19">
        <v>3759</v>
      </c>
      <c r="AS19">
        <v>-0.26700000000000002</v>
      </c>
      <c r="AT19">
        <v>5.5</v>
      </c>
      <c r="AU19">
        <v>-16.13</v>
      </c>
      <c r="AV19">
        <v>2.0000000000000001E-4</v>
      </c>
      <c r="AW19">
        <v>-0.92</v>
      </c>
    </row>
    <row r="20" spans="1:49" x14ac:dyDescent="0.25">
      <c r="A20" t="s">
        <v>22</v>
      </c>
      <c r="B20">
        <v>16940</v>
      </c>
      <c r="C20">
        <v>63125</v>
      </c>
      <c r="E20">
        <v>7.0000000000000007E-2</v>
      </c>
      <c r="F20">
        <v>2.0000000000000001E-4</v>
      </c>
      <c r="G20">
        <v>-11.68</v>
      </c>
      <c r="H20">
        <v>4.6399999999999997</v>
      </c>
      <c r="I20">
        <v>1.7999999999999999E-2</v>
      </c>
      <c r="J20">
        <v>44673</v>
      </c>
      <c r="K20">
        <v>-4563</v>
      </c>
      <c r="L20">
        <v>722392</v>
      </c>
      <c r="M20">
        <v>20.87</v>
      </c>
      <c r="N20">
        <v>-3.25</v>
      </c>
      <c r="O20">
        <v>18.71</v>
      </c>
      <c r="P20">
        <v>99120</v>
      </c>
      <c r="Q20">
        <v>56580</v>
      </c>
      <c r="R20">
        <v>23.4</v>
      </c>
      <c r="S20">
        <v>35.35</v>
      </c>
      <c r="T20">
        <v>10.199999999999999</v>
      </c>
      <c r="U20">
        <v>25.15</v>
      </c>
      <c r="V20">
        <v>1320</v>
      </c>
      <c r="W20">
        <v>21.85</v>
      </c>
      <c r="X20">
        <v>23</v>
      </c>
      <c r="Y20">
        <v>105</v>
      </c>
      <c r="Z20">
        <v>21.9</v>
      </c>
      <c r="AA20">
        <v>48900</v>
      </c>
      <c r="AB20">
        <v>1069.25</v>
      </c>
      <c r="AC20">
        <v>15</v>
      </c>
      <c r="AD20">
        <v>1065.6500000000001</v>
      </c>
      <c r="AE20">
        <v>1075.6500000000001</v>
      </c>
      <c r="AF20">
        <v>15</v>
      </c>
      <c r="AG20">
        <v>1494.5</v>
      </c>
      <c r="AH20">
        <v>1890.6</v>
      </c>
      <c r="AI20">
        <v>1062.45</v>
      </c>
      <c r="AJ20">
        <v>1484.9</v>
      </c>
      <c r="AK20">
        <v>21495</v>
      </c>
      <c r="AL20">
        <v>3525</v>
      </c>
      <c r="AM20">
        <v>1401.32</v>
      </c>
      <c r="AN20">
        <v>-415.65000000000009</v>
      </c>
      <c r="AO20">
        <v>0</v>
      </c>
      <c r="AP20">
        <v>912</v>
      </c>
      <c r="AQ20">
        <v>-231</v>
      </c>
      <c r="AR20">
        <v>3339</v>
      </c>
      <c r="AS20">
        <v>-0.26800000000000002</v>
      </c>
      <c r="AT20">
        <v>4.6399999999999997</v>
      </c>
      <c r="AU20">
        <v>-11.68</v>
      </c>
      <c r="AV20">
        <v>2.0000000000000001E-4</v>
      </c>
      <c r="AW20">
        <v>-0.93</v>
      </c>
    </row>
    <row r="21" spans="1:49" x14ac:dyDescent="0.25">
      <c r="A21" t="s">
        <v>23</v>
      </c>
      <c r="B21">
        <v>47000</v>
      </c>
      <c r="C21">
        <v>47000</v>
      </c>
      <c r="E21">
        <v>0.05</v>
      </c>
      <c r="F21">
        <v>1E-4</v>
      </c>
      <c r="G21">
        <v>-8.1</v>
      </c>
      <c r="H21">
        <v>3.93</v>
      </c>
      <c r="I21">
        <v>1.4E-2</v>
      </c>
      <c r="J21">
        <v>158569</v>
      </c>
      <c r="K21">
        <v>8194</v>
      </c>
      <c r="L21">
        <v>2359943</v>
      </c>
      <c r="M21">
        <v>21.19</v>
      </c>
      <c r="N21">
        <v>-4.5499999999999972</v>
      </c>
      <c r="O21">
        <v>15.51</v>
      </c>
      <c r="P21">
        <v>226695</v>
      </c>
      <c r="Q21">
        <v>300480</v>
      </c>
      <c r="R21">
        <v>18.95</v>
      </c>
      <c r="S21">
        <v>29</v>
      </c>
      <c r="T21">
        <v>9</v>
      </c>
      <c r="U21">
        <v>21.9</v>
      </c>
      <c r="V21">
        <v>15</v>
      </c>
      <c r="W21">
        <v>17.05</v>
      </c>
      <c r="X21">
        <v>17.649999999999999</v>
      </c>
      <c r="Y21">
        <v>75</v>
      </c>
      <c r="Z21">
        <v>17.350000000000001</v>
      </c>
      <c r="AA21">
        <v>49000</v>
      </c>
      <c r="AB21">
        <v>1164.5</v>
      </c>
      <c r="AC21">
        <v>30</v>
      </c>
      <c r="AD21">
        <v>1159.8</v>
      </c>
      <c r="AE21">
        <v>1169.95</v>
      </c>
      <c r="AF21">
        <v>15</v>
      </c>
      <c r="AG21">
        <v>1611.8</v>
      </c>
      <c r="AH21">
        <v>2022.45</v>
      </c>
      <c r="AI21">
        <v>1148</v>
      </c>
      <c r="AJ21">
        <v>1590.95</v>
      </c>
      <c r="AK21">
        <v>24030</v>
      </c>
      <c r="AL21">
        <v>3030</v>
      </c>
      <c r="AM21">
        <v>1598.75</v>
      </c>
      <c r="AN21">
        <v>-426.45000000000005</v>
      </c>
      <c r="AO21">
        <v>0</v>
      </c>
      <c r="AP21">
        <v>9108</v>
      </c>
      <c r="AQ21">
        <v>-2288</v>
      </c>
      <c r="AR21">
        <v>14745</v>
      </c>
      <c r="AS21">
        <v>-0.26800000000000002</v>
      </c>
      <c r="AT21">
        <v>3.93</v>
      </c>
      <c r="AU21">
        <v>-8.1</v>
      </c>
      <c r="AV21">
        <v>1E-4</v>
      </c>
      <c r="AW21">
        <v>-0.95</v>
      </c>
    </row>
    <row r="22" spans="1:49" x14ac:dyDescent="0.25">
      <c r="A22" t="s">
        <v>24</v>
      </c>
      <c r="B22">
        <v>888.05</v>
      </c>
      <c r="C22">
        <v>39.799999999999997</v>
      </c>
      <c r="E22">
        <v>0.04</v>
      </c>
      <c r="F22">
        <v>1E-4</v>
      </c>
      <c r="G22">
        <v>-4.4400000000000004</v>
      </c>
      <c r="H22">
        <v>3.24</v>
      </c>
      <c r="I22">
        <v>1.0999999999999999E-2</v>
      </c>
      <c r="J22">
        <v>42926</v>
      </c>
      <c r="K22">
        <v>-2803</v>
      </c>
      <c r="L22">
        <v>629755</v>
      </c>
      <c r="M22">
        <v>21.37</v>
      </c>
      <c r="N22">
        <v>-5.4499999999999993</v>
      </c>
      <c r="O22">
        <v>12.69</v>
      </c>
      <c r="P22">
        <v>107865</v>
      </c>
      <c r="Q22">
        <v>36915</v>
      </c>
      <c r="R22">
        <v>15</v>
      </c>
      <c r="S22">
        <v>23.6</v>
      </c>
      <c r="T22">
        <v>7.9</v>
      </c>
      <c r="U22">
        <v>18.7</v>
      </c>
      <c r="V22">
        <v>285</v>
      </c>
      <c r="W22">
        <v>13.25</v>
      </c>
      <c r="X22">
        <v>14.65</v>
      </c>
      <c r="Y22">
        <v>30</v>
      </c>
      <c r="Z22">
        <v>13.25</v>
      </c>
      <c r="AA22">
        <v>49100</v>
      </c>
      <c r="AB22">
        <v>1259.8499999999999</v>
      </c>
      <c r="AC22">
        <v>720</v>
      </c>
      <c r="AD22">
        <v>1179.9000000000001</v>
      </c>
      <c r="AE22">
        <v>1268.95</v>
      </c>
      <c r="AF22">
        <v>30</v>
      </c>
      <c r="AG22">
        <v>1690.05</v>
      </c>
      <c r="AH22">
        <v>2100</v>
      </c>
      <c r="AI22">
        <v>1248.7</v>
      </c>
      <c r="AJ22">
        <v>1681.95</v>
      </c>
      <c r="AK22">
        <v>22740</v>
      </c>
      <c r="AL22">
        <v>3870</v>
      </c>
      <c r="AM22">
        <v>1655.32</v>
      </c>
      <c r="AN22">
        <v>-422.10000000000014</v>
      </c>
      <c r="AO22">
        <v>0</v>
      </c>
      <c r="AP22">
        <v>346</v>
      </c>
      <c r="AQ22">
        <v>-164</v>
      </c>
      <c r="AR22">
        <v>1524</v>
      </c>
      <c r="AS22">
        <v>-0.26900000000000002</v>
      </c>
      <c r="AT22">
        <v>3.24</v>
      </c>
      <c r="AU22">
        <v>-4.4400000000000004</v>
      </c>
      <c r="AV22">
        <v>1E-4</v>
      </c>
      <c r="AW22">
        <v>-0.96</v>
      </c>
    </row>
    <row r="23" spans="1:49" x14ac:dyDescent="0.25">
      <c r="A23" t="s">
        <v>25</v>
      </c>
      <c r="B23">
        <v>49781</v>
      </c>
      <c r="C23">
        <v>19430</v>
      </c>
    </row>
    <row r="24" spans="1:49" x14ac:dyDescent="0.25">
      <c r="A24" t="s">
        <v>26</v>
      </c>
      <c r="B24">
        <v>57000</v>
      </c>
      <c r="C24">
        <v>39500</v>
      </c>
    </row>
    <row r="25" spans="1:49" x14ac:dyDescent="0.25">
      <c r="A25" t="s">
        <v>27</v>
      </c>
      <c r="B25">
        <v>0.9</v>
      </c>
      <c r="C25">
        <v>1.05</v>
      </c>
    </row>
    <row r="26" spans="1:49" x14ac:dyDescent="0.25">
      <c r="A26" t="s">
        <v>28</v>
      </c>
      <c r="B26">
        <v>59152340</v>
      </c>
      <c r="C26">
        <v>56634883</v>
      </c>
    </row>
    <row r="27" spans="1:49" x14ac:dyDescent="0.25">
      <c r="A27" t="s">
        <v>29</v>
      </c>
      <c r="B27">
        <v>47500</v>
      </c>
      <c r="C27">
        <v>47000</v>
      </c>
    </row>
    <row r="28" spans="1:49" x14ac:dyDescent="0.25">
      <c r="A28" t="s">
        <v>30</v>
      </c>
      <c r="B28">
        <v>470.15</v>
      </c>
      <c r="C28">
        <v>39.799999999999997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AE4FE-1A3E-4E33-A468-761692FB3D3F}">
  <sheetPr codeName="Sheet2"/>
  <dimension ref="A1:AW28"/>
  <sheetViews>
    <sheetView workbookViewId="0">
      <selection activeCell="L22" sqref="L2:L22"/>
    </sheetView>
  </sheetViews>
  <sheetFormatPr defaultRowHeight="15" x14ac:dyDescent="0.25"/>
  <cols>
    <col min="1" max="1" width="28.85546875" bestFit="1" customWidth="1"/>
    <col min="2" max="2" width="15.5703125" bestFit="1" customWidth="1"/>
  </cols>
  <sheetData>
    <row r="1" spans="1:49" x14ac:dyDescent="0.25">
      <c r="A1" t="s">
        <v>0</v>
      </c>
      <c r="B1" t="s">
        <v>1</v>
      </c>
      <c r="C1" t="s">
        <v>2</v>
      </c>
      <c r="E1" t="s">
        <v>31</v>
      </c>
      <c r="F1" t="s">
        <v>32</v>
      </c>
      <c r="G1" t="s">
        <v>33</v>
      </c>
      <c r="H1" t="s">
        <v>34</v>
      </c>
      <c r="I1" t="s">
        <v>35</v>
      </c>
      <c r="J1" t="s">
        <v>36</v>
      </c>
      <c r="K1" t="s">
        <v>37</v>
      </c>
      <c r="L1" t="s">
        <v>38</v>
      </c>
      <c r="M1" t="s">
        <v>39</v>
      </c>
      <c r="N1" t="s">
        <v>40</v>
      </c>
      <c r="O1" t="s">
        <v>41</v>
      </c>
      <c r="P1" t="s">
        <v>42</v>
      </c>
      <c r="Q1" t="s">
        <v>43</v>
      </c>
      <c r="R1" t="s">
        <v>44</v>
      </c>
      <c r="S1" t="s">
        <v>45</v>
      </c>
      <c r="T1" t="s">
        <v>46</v>
      </c>
      <c r="U1" t="s">
        <v>47</v>
      </c>
      <c r="V1" t="s">
        <v>48</v>
      </c>
      <c r="W1" t="s">
        <v>49</v>
      </c>
      <c r="X1" t="s">
        <v>50</v>
      </c>
      <c r="Y1" t="s">
        <v>51</v>
      </c>
      <c r="Z1" t="s">
        <v>52</v>
      </c>
      <c r="AA1" t="s">
        <v>53</v>
      </c>
      <c r="AB1" t="s">
        <v>54</v>
      </c>
      <c r="AC1" t="s">
        <v>55</v>
      </c>
      <c r="AD1" t="s">
        <v>56</v>
      </c>
      <c r="AE1" t="s">
        <v>57</v>
      </c>
      <c r="AF1" t="s">
        <v>58</v>
      </c>
      <c r="AG1" t="s">
        <v>59</v>
      </c>
      <c r="AH1" t="s">
        <v>60</v>
      </c>
      <c r="AI1" t="s">
        <v>61</v>
      </c>
      <c r="AJ1" t="s">
        <v>62</v>
      </c>
      <c r="AK1" t="s">
        <v>63</v>
      </c>
      <c r="AL1" t="s">
        <v>64</v>
      </c>
      <c r="AM1" t="s">
        <v>65</v>
      </c>
      <c r="AN1" t="s">
        <v>66</v>
      </c>
      <c r="AO1" t="s">
        <v>67</v>
      </c>
      <c r="AP1" t="s">
        <v>68</v>
      </c>
      <c r="AQ1" t="s">
        <v>69</v>
      </c>
      <c r="AR1" t="s">
        <v>70</v>
      </c>
      <c r="AS1" t="s">
        <v>71</v>
      </c>
      <c r="AT1" t="s">
        <v>72</v>
      </c>
      <c r="AU1" t="s">
        <v>73</v>
      </c>
      <c r="AV1" t="s">
        <v>74</v>
      </c>
      <c r="AW1" t="s">
        <v>75</v>
      </c>
    </row>
    <row r="2" spans="1:49" x14ac:dyDescent="0.25">
      <c r="A2" t="s">
        <v>3</v>
      </c>
      <c r="B2" t="s">
        <v>4</v>
      </c>
      <c r="E2">
        <v>0.9</v>
      </c>
      <c r="F2">
        <v>5.0000000000000001E-4</v>
      </c>
      <c r="G2">
        <v>-8.93</v>
      </c>
      <c r="H2">
        <v>3.46</v>
      </c>
      <c r="I2">
        <v>0.15</v>
      </c>
      <c r="J2">
        <v>7847</v>
      </c>
      <c r="K2">
        <v>4105</v>
      </c>
      <c r="L2">
        <v>228364</v>
      </c>
      <c r="M2">
        <v>21.25</v>
      </c>
      <c r="N2">
        <v>48.199999999999989</v>
      </c>
      <c r="O2">
        <v>300.19</v>
      </c>
      <c r="P2">
        <v>82900</v>
      </c>
      <c r="Q2">
        <v>10575</v>
      </c>
      <c r="R2">
        <v>383.9</v>
      </c>
      <c r="S2">
        <v>463.7</v>
      </c>
      <c r="T2">
        <v>213.1</v>
      </c>
      <c r="U2">
        <v>408.8</v>
      </c>
      <c r="V2">
        <v>50</v>
      </c>
      <c r="W2">
        <v>457</v>
      </c>
      <c r="X2">
        <v>458.95</v>
      </c>
      <c r="Y2">
        <v>25</v>
      </c>
      <c r="Z2">
        <v>457</v>
      </c>
      <c r="AA2">
        <v>21700</v>
      </c>
      <c r="AB2">
        <v>15.35</v>
      </c>
      <c r="AC2">
        <v>350</v>
      </c>
      <c r="AD2">
        <v>15.2</v>
      </c>
      <c r="AE2">
        <v>15.5</v>
      </c>
      <c r="AF2">
        <v>3050</v>
      </c>
      <c r="AG2">
        <v>37.700000000000003</v>
      </c>
      <c r="AH2">
        <v>95</v>
      </c>
      <c r="AI2">
        <v>15</v>
      </c>
      <c r="AJ2">
        <v>37.299999999999997</v>
      </c>
      <c r="AK2">
        <v>64025</v>
      </c>
      <c r="AL2">
        <v>320075</v>
      </c>
      <c r="AM2">
        <v>51.2</v>
      </c>
      <c r="AN2">
        <v>-21.949999999999996</v>
      </c>
      <c r="AO2">
        <v>16.52</v>
      </c>
      <c r="AP2">
        <v>2884319</v>
      </c>
      <c r="AQ2">
        <v>10015</v>
      </c>
      <c r="AR2">
        <v>102629</v>
      </c>
      <c r="AS2">
        <v>-1.7999999999999999E-2</v>
      </c>
      <c r="AT2">
        <v>3.46</v>
      </c>
      <c r="AU2">
        <v>-8.93</v>
      </c>
      <c r="AV2">
        <v>5.0000000000000001E-4</v>
      </c>
      <c r="AW2">
        <v>-0.1</v>
      </c>
    </row>
    <row r="3" spans="1:49" x14ac:dyDescent="0.25">
      <c r="A3" t="s">
        <v>5</v>
      </c>
      <c r="B3" s="1">
        <v>45428</v>
      </c>
      <c r="E3">
        <v>0.88</v>
      </c>
      <c r="F3">
        <v>5.9999999999999995E-4</v>
      </c>
      <c r="G3">
        <v>-9.68</v>
      </c>
      <c r="H3">
        <v>3.94</v>
      </c>
      <c r="I3">
        <v>0.14699999999999999</v>
      </c>
      <c r="J3">
        <v>5925</v>
      </c>
      <c r="K3">
        <v>3506</v>
      </c>
      <c r="L3">
        <v>154889</v>
      </c>
      <c r="M3">
        <v>20.04</v>
      </c>
      <c r="N3">
        <v>42.449999999999989</v>
      </c>
      <c r="O3">
        <v>274.23</v>
      </c>
      <c r="P3">
        <v>25925</v>
      </c>
      <c r="Q3">
        <v>10750</v>
      </c>
      <c r="R3">
        <v>351.2</v>
      </c>
      <c r="S3">
        <v>419.5</v>
      </c>
      <c r="T3">
        <v>181.75</v>
      </c>
      <c r="U3">
        <v>367.05</v>
      </c>
      <c r="V3">
        <v>25</v>
      </c>
      <c r="W3">
        <v>410</v>
      </c>
      <c r="X3">
        <v>416.55</v>
      </c>
      <c r="Y3">
        <v>2700</v>
      </c>
      <c r="Z3">
        <v>409.5</v>
      </c>
      <c r="AA3">
        <v>21750</v>
      </c>
      <c r="AB3">
        <v>18.3</v>
      </c>
      <c r="AC3">
        <v>1000</v>
      </c>
      <c r="AD3">
        <v>18.399999999999999</v>
      </c>
      <c r="AE3">
        <v>19.149999999999999</v>
      </c>
      <c r="AF3">
        <v>50</v>
      </c>
      <c r="AG3">
        <v>44.35</v>
      </c>
      <c r="AH3">
        <v>114.2</v>
      </c>
      <c r="AI3">
        <v>18.3</v>
      </c>
      <c r="AJ3">
        <v>45.65</v>
      </c>
      <c r="AK3">
        <v>47650</v>
      </c>
      <c r="AL3">
        <v>230650</v>
      </c>
      <c r="AM3">
        <v>63.37</v>
      </c>
      <c r="AN3">
        <v>-27.349999999999998</v>
      </c>
      <c r="AO3">
        <v>15.83</v>
      </c>
      <c r="AP3">
        <v>1591837</v>
      </c>
      <c r="AQ3">
        <v>26979</v>
      </c>
      <c r="AR3">
        <v>52925</v>
      </c>
      <c r="AS3">
        <v>-2.1000000000000001E-2</v>
      </c>
      <c r="AT3">
        <v>3.94</v>
      </c>
      <c r="AU3">
        <v>-9.68</v>
      </c>
      <c r="AV3">
        <v>5.9999999999999995E-4</v>
      </c>
      <c r="AW3">
        <v>-0.12</v>
      </c>
    </row>
    <row r="4" spans="1:49" x14ac:dyDescent="0.25">
      <c r="A4" t="s">
        <v>6</v>
      </c>
      <c r="B4" s="2" t="s">
        <v>143</v>
      </c>
      <c r="E4">
        <v>0.86</v>
      </c>
      <c r="F4">
        <v>6.9999999999999999E-4</v>
      </c>
      <c r="G4">
        <v>-10.81</v>
      </c>
      <c r="H4">
        <v>4.5599999999999996</v>
      </c>
      <c r="I4">
        <v>0.14399999999999999</v>
      </c>
      <c r="J4">
        <v>19416</v>
      </c>
      <c r="K4">
        <v>12486</v>
      </c>
      <c r="L4">
        <v>1093030</v>
      </c>
      <c r="M4">
        <v>18.87</v>
      </c>
      <c r="N4">
        <v>35.5</v>
      </c>
      <c r="O4">
        <v>223.87</v>
      </c>
      <c r="P4">
        <v>87750</v>
      </c>
      <c r="Q4">
        <v>26300</v>
      </c>
      <c r="R4">
        <v>281.7</v>
      </c>
      <c r="S4">
        <v>374.7</v>
      </c>
      <c r="T4">
        <v>153.5</v>
      </c>
      <c r="U4">
        <v>327.2</v>
      </c>
      <c r="V4">
        <v>25</v>
      </c>
      <c r="W4">
        <v>363</v>
      </c>
      <c r="X4">
        <v>366</v>
      </c>
      <c r="Y4">
        <v>100</v>
      </c>
      <c r="Z4">
        <v>362.7</v>
      </c>
      <c r="AA4">
        <v>21800</v>
      </c>
      <c r="AB4">
        <v>23.05</v>
      </c>
      <c r="AC4">
        <v>3350</v>
      </c>
      <c r="AD4">
        <v>23</v>
      </c>
      <c r="AE4">
        <v>23.8</v>
      </c>
      <c r="AF4">
        <v>1500</v>
      </c>
      <c r="AG4">
        <v>57</v>
      </c>
      <c r="AH4">
        <v>136</v>
      </c>
      <c r="AI4">
        <v>23.05</v>
      </c>
      <c r="AJ4">
        <v>55.55</v>
      </c>
      <c r="AK4">
        <v>132225</v>
      </c>
      <c r="AL4">
        <v>503550</v>
      </c>
      <c r="AM4">
        <v>78.77</v>
      </c>
      <c r="AN4">
        <v>-32.5</v>
      </c>
      <c r="AO4">
        <v>15.38</v>
      </c>
      <c r="AP4">
        <v>4153634</v>
      </c>
      <c r="AQ4">
        <v>56600</v>
      </c>
      <c r="AR4">
        <v>145981</v>
      </c>
      <c r="AS4">
        <v>-2.5999999999999999E-2</v>
      </c>
      <c r="AT4">
        <v>4.5599999999999996</v>
      </c>
      <c r="AU4">
        <v>-10.81</v>
      </c>
      <c r="AV4">
        <v>6.9999999999999999E-4</v>
      </c>
      <c r="AW4">
        <v>-0.14000000000000001</v>
      </c>
    </row>
    <row r="5" spans="1:49" x14ac:dyDescent="0.25">
      <c r="A5" t="s">
        <v>7</v>
      </c>
      <c r="B5">
        <v>22104.05</v>
      </c>
      <c r="C5">
        <v>22224.25</v>
      </c>
      <c r="E5">
        <v>0.82</v>
      </c>
      <c r="F5">
        <v>8.9999999999999998E-4</v>
      </c>
      <c r="G5">
        <v>-11.79</v>
      </c>
      <c r="H5">
        <v>5.2</v>
      </c>
      <c r="I5">
        <v>0.13900000000000001</v>
      </c>
      <c r="J5">
        <v>17222</v>
      </c>
      <c r="K5">
        <v>11956</v>
      </c>
      <c r="L5">
        <v>1049794</v>
      </c>
      <c r="M5">
        <v>18.010000000000002</v>
      </c>
      <c r="N5">
        <v>30.449999999999989</v>
      </c>
      <c r="O5">
        <v>182.81</v>
      </c>
      <c r="P5">
        <v>25800</v>
      </c>
      <c r="Q5">
        <v>16000</v>
      </c>
      <c r="R5">
        <v>295.10000000000002</v>
      </c>
      <c r="S5">
        <v>331.5</v>
      </c>
      <c r="T5">
        <v>128.15</v>
      </c>
      <c r="U5">
        <v>287.95</v>
      </c>
      <c r="V5">
        <v>25</v>
      </c>
      <c r="W5">
        <v>319.5</v>
      </c>
      <c r="X5">
        <v>323.39999999999998</v>
      </c>
      <c r="Y5">
        <v>275</v>
      </c>
      <c r="Z5">
        <v>318.39999999999998</v>
      </c>
      <c r="AA5">
        <v>21850</v>
      </c>
      <c r="AB5">
        <v>28.6</v>
      </c>
      <c r="AC5">
        <v>50</v>
      </c>
      <c r="AD5">
        <v>28.5</v>
      </c>
      <c r="AE5">
        <v>29.6</v>
      </c>
      <c r="AF5">
        <v>1000</v>
      </c>
      <c r="AG5">
        <v>69.2</v>
      </c>
      <c r="AH5">
        <v>161.35</v>
      </c>
      <c r="AI5">
        <v>28.6</v>
      </c>
      <c r="AJ5">
        <v>67.25</v>
      </c>
      <c r="AK5">
        <v>40925</v>
      </c>
      <c r="AL5">
        <v>222375</v>
      </c>
      <c r="AM5">
        <v>100.18</v>
      </c>
      <c r="AN5">
        <v>-38.65</v>
      </c>
      <c r="AO5">
        <v>14.84</v>
      </c>
      <c r="AP5">
        <v>2713021</v>
      </c>
      <c r="AQ5">
        <v>44392</v>
      </c>
      <c r="AR5">
        <v>68631</v>
      </c>
      <c r="AS5">
        <v>-3.2000000000000001E-2</v>
      </c>
      <c r="AT5">
        <v>5.2</v>
      </c>
      <c r="AU5">
        <v>-11.79</v>
      </c>
      <c r="AV5">
        <v>8.9999999999999998E-4</v>
      </c>
      <c r="AW5">
        <v>-0.18</v>
      </c>
    </row>
    <row r="6" spans="1:49" x14ac:dyDescent="0.25">
      <c r="A6" t="s">
        <v>8</v>
      </c>
      <c r="B6">
        <v>22027.95</v>
      </c>
      <c r="C6">
        <v>22100</v>
      </c>
      <c r="E6">
        <v>0.78</v>
      </c>
      <c r="F6">
        <v>1E-3</v>
      </c>
      <c r="G6">
        <v>-12.8</v>
      </c>
      <c r="H6">
        <v>5.89</v>
      </c>
      <c r="I6">
        <v>0.13100000000000001</v>
      </c>
      <c r="J6">
        <v>37361</v>
      </c>
      <c r="K6">
        <v>23215</v>
      </c>
      <c r="L6">
        <v>2867685</v>
      </c>
      <c r="M6">
        <v>17.84</v>
      </c>
      <c r="N6">
        <v>26.549999999999983</v>
      </c>
      <c r="O6">
        <v>168.4</v>
      </c>
      <c r="P6">
        <v>209900</v>
      </c>
      <c r="Q6">
        <v>66850</v>
      </c>
      <c r="R6">
        <v>229.65</v>
      </c>
      <c r="S6">
        <v>289.7</v>
      </c>
      <c r="T6">
        <v>105.4</v>
      </c>
      <c r="U6">
        <v>253.15</v>
      </c>
      <c r="V6">
        <v>100</v>
      </c>
      <c r="W6">
        <v>278.35000000000002</v>
      </c>
      <c r="X6">
        <v>279.89999999999998</v>
      </c>
      <c r="Y6">
        <v>25</v>
      </c>
      <c r="Z6">
        <v>279.7</v>
      </c>
      <c r="AA6">
        <v>21900</v>
      </c>
      <c r="AB6">
        <v>36.049999999999997</v>
      </c>
      <c r="AC6">
        <v>25</v>
      </c>
      <c r="AD6">
        <v>36.4</v>
      </c>
      <c r="AE6">
        <v>36.85</v>
      </c>
      <c r="AF6">
        <v>75</v>
      </c>
      <c r="AG6">
        <v>100.05</v>
      </c>
      <c r="AH6">
        <v>188</v>
      </c>
      <c r="AI6">
        <v>36.049999999999997</v>
      </c>
      <c r="AJ6">
        <v>81.3</v>
      </c>
      <c r="AK6">
        <v>735150</v>
      </c>
      <c r="AL6">
        <v>521975</v>
      </c>
      <c r="AM6">
        <v>110.18</v>
      </c>
      <c r="AN6">
        <v>-45.25</v>
      </c>
      <c r="AO6">
        <v>14.38</v>
      </c>
      <c r="AP6">
        <v>5441232</v>
      </c>
      <c r="AQ6">
        <v>47392</v>
      </c>
      <c r="AR6">
        <v>133464</v>
      </c>
      <c r="AS6">
        <v>-0.04</v>
      </c>
      <c r="AT6">
        <v>5.89</v>
      </c>
      <c r="AU6">
        <v>-12.8</v>
      </c>
      <c r="AV6">
        <v>1E-3</v>
      </c>
      <c r="AW6">
        <v>-0.22</v>
      </c>
    </row>
    <row r="7" spans="1:49" x14ac:dyDescent="0.25">
      <c r="A7" t="s">
        <v>9</v>
      </c>
      <c r="B7">
        <v>22131.65</v>
      </c>
      <c r="C7">
        <v>22225</v>
      </c>
      <c r="E7">
        <v>0.73</v>
      </c>
      <c r="F7">
        <v>1.1999999999999999E-3</v>
      </c>
      <c r="G7">
        <v>-14.01</v>
      </c>
      <c r="H7">
        <v>6.62</v>
      </c>
      <c r="I7">
        <v>0.125</v>
      </c>
      <c r="J7">
        <v>29596</v>
      </c>
      <c r="K7">
        <v>7785</v>
      </c>
      <c r="L7">
        <v>1899316</v>
      </c>
      <c r="M7">
        <v>16.71</v>
      </c>
      <c r="N7">
        <v>17.799999999999983</v>
      </c>
      <c r="O7">
        <v>148.55000000000001</v>
      </c>
      <c r="P7">
        <v>32900</v>
      </c>
      <c r="Q7">
        <v>29775</v>
      </c>
      <c r="R7">
        <v>198.9</v>
      </c>
      <c r="S7">
        <v>251.35</v>
      </c>
      <c r="T7">
        <v>85.65</v>
      </c>
      <c r="U7">
        <v>218.65</v>
      </c>
      <c r="V7">
        <v>200</v>
      </c>
      <c r="W7">
        <v>236</v>
      </c>
      <c r="X7">
        <v>239</v>
      </c>
      <c r="Y7">
        <v>475</v>
      </c>
      <c r="Z7">
        <v>236.45</v>
      </c>
      <c r="AA7">
        <v>21950</v>
      </c>
      <c r="AB7">
        <v>47.2</v>
      </c>
      <c r="AC7">
        <v>75</v>
      </c>
      <c r="AD7">
        <v>46.35</v>
      </c>
      <c r="AE7">
        <v>47.2</v>
      </c>
      <c r="AF7">
        <v>50</v>
      </c>
      <c r="AG7">
        <v>101</v>
      </c>
      <c r="AH7">
        <v>218.35</v>
      </c>
      <c r="AI7">
        <v>46.35</v>
      </c>
      <c r="AJ7">
        <v>97.5</v>
      </c>
      <c r="AK7">
        <v>60425</v>
      </c>
      <c r="AL7">
        <v>179525</v>
      </c>
      <c r="AM7">
        <v>124.64</v>
      </c>
      <c r="AN7">
        <v>-50.3</v>
      </c>
      <c r="AO7">
        <v>14.19</v>
      </c>
      <c r="AP7">
        <v>2705722</v>
      </c>
      <c r="AQ7">
        <v>31886</v>
      </c>
      <c r="AR7">
        <v>66781</v>
      </c>
      <c r="AS7">
        <v>-4.9000000000000002E-2</v>
      </c>
      <c r="AT7">
        <v>6.62</v>
      </c>
      <c r="AU7">
        <v>-14.01</v>
      </c>
      <c r="AV7">
        <v>1.1999999999999999E-3</v>
      </c>
      <c r="AW7">
        <v>-0.27</v>
      </c>
    </row>
    <row r="8" spans="1:49" x14ac:dyDescent="0.25">
      <c r="A8" t="s">
        <v>10</v>
      </c>
      <c r="B8">
        <v>21821.05</v>
      </c>
      <c r="C8">
        <v>21900</v>
      </c>
      <c r="E8">
        <v>0.67</v>
      </c>
      <c r="F8">
        <v>1.2999999999999999E-3</v>
      </c>
      <c r="G8">
        <v>-14.65</v>
      </c>
      <c r="H8">
        <v>7.23</v>
      </c>
      <c r="I8">
        <v>0.11600000000000001</v>
      </c>
      <c r="J8">
        <v>132477</v>
      </c>
      <c r="K8">
        <v>-1992</v>
      </c>
      <c r="L8">
        <v>6080464</v>
      </c>
      <c r="M8">
        <v>16.559999999999999</v>
      </c>
      <c r="N8">
        <v>13.75</v>
      </c>
      <c r="O8">
        <v>132.69999999999999</v>
      </c>
      <c r="P8">
        <v>319125</v>
      </c>
      <c r="Q8">
        <v>193200</v>
      </c>
      <c r="R8">
        <v>180.05</v>
      </c>
      <c r="S8">
        <v>214.6</v>
      </c>
      <c r="T8">
        <v>68.7</v>
      </c>
      <c r="U8">
        <v>188.25</v>
      </c>
      <c r="V8">
        <v>150</v>
      </c>
      <c r="W8">
        <v>200</v>
      </c>
      <c r="X8">
        <v>202</v>
      </c>
      <c r="Y8">
        <v>375</v>
      </c>
      <c r="Z8">
        <v>202</v>
      </c>
      <c r="AA8">
        <v>22000</v>
      </c>
      <c r="AB8">
        <v>59.7</v>
      </c>
      <c r="AC8">
        <v>50</v>
      </c>
      <c r="AD8">
        <v>59.05</v>
      </c>
      <c r="AE8">
        <v>59.7</v>
      </c>
      <c r="AF8">
        <v>75</v>
      </c>
      <c r="AG8">
        <v>118.9</v>
      </c>
      <c r="AH8">
        <v>251</v>
      </c>
      <c r="AI8">
        <v>59</v>
      </c>
      <c r="AJ8">
        <v>116.3</v>
      </c>
      <c r="AK8">
        <v>637700</v>
      </c>
      <c r="AL8">
        <v>611750</v>
      </c>
      <c r="AM8">
        <v>138.53</v>
      </c>
      <c r="AN8">
        <v>-56.599999999999994</v>
      </c>
      <c r="AO8">
        <v>13.82</v>
      </c>
      <c r="AP8">
        <v>5427938</v>
      </c>
      <c r="AQ8">
        <v>-12766</v>
      </c>
      <c r="AR8">
        <v>169641</v>
      </c>
      <c r="AS8">
        <v>-0.06</v>
      </c>
      <c r="AT8">
        <v>7.23</v>
      </c>
      <c r="AU8">
        <v>-14.65</v>
      </c>
      <c r="AV8">
        <v>1.2999999999999999E-3</v>
      </c>
      <c r="AW8">
        <v>-0.33</v>
      </c>
    </row>
    <row r="9" spans="1:49" x14ac:dyDescent="0.25">
      <c r="A9" t="s">
        <v>11</v>
      </c>
      <c r="B9">
        <v>22055.200000000001</v>
      </c>
      <c r="C9">
        <v>22140.6</v>
      </c>
      <c r="E9">
        <v>0.61</v>
      </c>
      <c r="F9">
        <v>1.4E-3</v>
      </c>
      <c r="G9">
        <v>-15.14</v>
      </c>
      <c r="H9">
        <v>7.71</v>
      </c>
      <c r="I9">
        <v>0.106</v>
      </c>
      <c r="J9">
        <v>46562</v>
      </c>
      <c r="K9">
        <v>413</v>
      </c>
      <c r="L9">
        <v>2343855</v>
      </c>
      <c r="M9">
        <v>16.21</v>
      </c>
      <c r="N9">
        <v>8.8499999999999943</v>
      </c>
      <c r="O9">
        <v>114.6</v>
      </c>
      <c r="P9">
        <v>54125</v>
      </c>
      <c r="Q9">
        <v>72125</v>
      </c>
      <c r="R9">
        <v>160</v>
      </c>
      <c r="S9">
        <v>180.85</v>
      </c>
      <c r="T9">
        <v>54.6</v>
      </c>
      <c r="U9">
        <v>159.80000000000001</v>
      </c>
      <c r="V9">
        <v>25</v>
      </c>
      <c r="W9">
        <v>166</v>
      </c>
      <c r="X9">
        <v>168.65</v>
      </c>
      <c r="Y9">
        <v>50</v>
      </c>
      <c r="Z9">
        <v>168.65</v>
      </c>
      <c r="AA9">
        <v>22050</v>
      </c>
      <c r="AB9">
        <v>76.7</v>
      </c>
      <c r="AC9">
        <v>25</v>
      </c>
      <c r="AD9">
        <v>75.7</v>
      </c>
      <c r="AE9">
        <v>76.55</v>
      </c>
      <c r="AF9">
        <v>50</v>
      </c>
      <c r="AG9">
        <v>135</v>
      </c>
      <c r="AH9">
        <v>286.85000000000002</v>
      </c>
      <c r="AI9">
        <v>75.5</v>
      </c>
      <c r="AJ9">
        <v>137.6</v>
      </c>
      <c r="AK9">
        <v>26325</v>
      </c>
      <c r="AL9">
        <v>127475</v>
      </c>
      <c r="AM9">
        <v>144.94999999999999</v>
      </c>
      <c r="AN9">
        <v>-60.899999999999991</v>
      </c>
      <c r="AO9">
        <v>13.66</v>
      </c>
      <c r="AP9">
        <v>1435251</v>
      </c>
      <c r="AQ9">
        <v>9120</v>
      </c>
      <c r="AR9">
        <v>41666</v>
      </c>
      <c r="AS9">
        <v>-7.1999999999999995E-2</v>
      </c>
      <c r="AT9">
        <v>7.71</v>
      </c>
      <c r="AU9">
        <v>-15.14</v>
      </c>
      <c r="AV9">
        <v>1.4E-3</v>
      </c>
      <c r="AW9">
        <v>-0.39</v>
      </c>
    </row>
    <row r="10" spans="1:49" x14ac:dyDescent="0.25">
      <c r="A10" t="s">
        <v>12</v>
      </c>
      <c r="B10">
        <v>477991</v>
      </c>
      <c r="E10">
        <v>0.54</v>
      </c>
      <c r="F10">
        <v>1.5E-3</v>
      </c>
      <c r="G10">
        <v>-14.63</v>
      </c>
      <c r="H10">
        <v>7.96</v>
      </c>
      <c r="I10">
        <v>9.5000000000000001E-2</v>
      </c>
      <c r="J10">
        <v>138740</v>
      </c>
      <c r="K10">
        <v>26988</v>
      </c>
      <c r="L10">
        <v>4613571</v>
      </c>
      <c r="M10">
        <v>15.67</v>
      </c>
      <c r="N10">
        <v>2.5</v>
      </c>
      <c r="O10">
        <v>98.52</v>
      </c>
      <c r="P10">
        <v>224425</v>
      </c>
      <c r="Q10">
        <v>305975</v>
      </c>
      <c r="R10">
        <v>118</v>
      </c>
      <c r="S10">
        <v>151</v>
      </c>
      <c r="T10">
        <v>42.7</v>
      </c>
      <c r="U10">
        <v>134.1</v>
      </c>
      <c r="V10">
        <v>275</v>
      </c>
      <c r="W10">
        <v>136.55000000000001</v>
      </c>
      <c r="X10">
        <v>138</v>
      </c>
      <c r="Y10">
        <v>6600</v>
      </c>
      <c r="Z10">
        <v>136.6</v>
      </c>
      <c r="AA10">
        <v>22100</v>
      </c>
      <c r="AB10">
        <v>94.45</v>
      </c>
      <c r="AC10">
        <v>100</v>
      </c>
      <c r="AD10">
        <v>95</v>
      </c>
      <c r="AE10">
        <v>96</v>
      </c>
      <c r="AF10">
        <v>400</v>
      </c>
      <c r="AG10">
        <v>204.9</v>
      </c>
      <c r="AH10">
        <v>324.85000000000002</v>
      </c>
      <c r="AI10">
        <v>94.45</v>
      </c>
      <c r="AJ10">
        <v>161.55000000000001</v>
      </c>
      <c r="AK10">
        <v>81800</v>
      </c>
      <c r="AL10">
        <v>186850</v>
      </c>
      <c r="AM10">
        <v>162</v>
      </c>
      <c r="AN10">
        <v>-67.100000000000009</v>
      </c>
      <c r="AO10">
        <v>13.16</v>
      </c>
      <c r="AP10">
        <v>2143752</v>
      </c>
      <c r="AQ10">
        <v>27247</v>
      </c>
      <c r="AR10">
        <v>89643</v>
      </c>
      <c r="AS10">
        <v>-8.5000000000000006E-2</v>
      </c>
      <c r="AT10">
        <v>7.96</v>
      </c>
      <c r="AU10">
        <v>-14.63</v>
      </c>
      <c r="AV10">
        <v>1.5E-3</v>
      </c>
      <c r="AW10">
        <v>-0.46</v>
      </c>
    </row>
    <row r="11" spans="1:49" x14ac:dyDescent="0.25">
      <c r="A11" t="s">
        <v>13</v>
      </c>
      <c r="B11">
        <v>22000</v>
      </c>
      <c r="E11">
        <v>0.46</v>
      </c>
      <c r="F11">
        <v>1.5E-3</v>
      </c>
      <c r="G11">
        <v>-13.82</v>
      </c>
      <c r="H11">
        <v>7.95</v>
      </c>
      <c r="I11">
        <v>8.4000000000000005E-2</v>
      </c>
      <c r="J11">
        <v>60071</v>
      </c>
      <c r="K11">
        <v>14680</v>
      </c>
      <c r="L11">
        <v>2121389</v>
      </c>
      <c r="M11">
        <v>15.56</v>
      </c>
      <c r="N11">
        <v>-0.45000000000000284</v>
      </c>
      <c r="O11">
        <v>80.760000000000005</v>
      </c>
      <c r="P11">
        <v>87450</v>
      </c>
      <c r="Q11">
        <v>167975</v>
      </c>
      <c r="R11">
        <v>103.95</v>
      </c>
      <c r="S11">
        <v>122.85</v>
      </c>
      <c r="T11">
        <v>33.450000000000003</v>
      </c>
      <c r="U11">
        <v>111.5</v>
      </c>
      <c r="V11">
        <v>25</v>
      </c>
      <c r="W11">
        <v>110.9</v>
      </c>
      <c r="X11">
        <v>111.05</v>
      </c>
      <c r="Y11">
        <v>1125</v>
      </c>
      <c r="Z11">
        <v>111.05</v>
      </c>
      <c r="AA11">
        <v>22150</v>
      </c>
      <c r="AB11">
        <v>117.8</v>
      </c>
      <c r="AC11">
        <v>1000</v>
      </c>
      <c r="AD11">
        <v>117.1</v>
      </c>
      <c r="AE11">
        <v>120.1</v>
      </c>
      <c r="AF11">
        <v>50</v>
      </c>
      <c r="AG11">
        <v>187.45</v>
      </c>
      <c r="AH11">
        <v>365.45</v>
      </c>
      <c r="AI11">
        <v>117.8</v>
      </c>
      <c r="AJ11">
        <v>188.45</v>
      </c>
      <c r="AK11">
        <v>18225</v>
      </c>
      <c r="AL11">
        <v>35050</v>
      </c>
      <c r="AM11">
        <v>176.71</v>
      </c>
      <c r="AN11">
        <v>-70.649999999999991</v>
      </c>
      <c r="AO11">
        <v>12.92</v>
      </c>
      <c r="AP11">
        <v>525623</v>
      </c>
      <c r="AQ11">
        <v>12509</v>
      </c>
      <c r="AR11">
        <v>25850</v>
      </c>
      <c r="AS11">
        <v>-9.9000000000000005E-2</v>
      </c>
      <c r="AT11">
        <v>7.95</v>
      </c>
      <c r="AU11">
        <v>-13.82</v>
      </c>
      <c r="AV11">
        <v>1.5E-3</v>
      </c>
      <c r="AW11">
        <v>-0.54</v>
      </c>
    </row>
    <row r="12" spans="1:49" x14ac:dyDescent="0.25">
      <c r="A12" t="s">
        <v>14</v>
      </c>
      <c r="B12">
        <v>202</v>
      </c>
      <c r="C12">
        <v>59.7</v>
      </c>
      <c r="E12">
        <v>0.4</v>
      </c>
      <c r="F12">
        <v>1.2999999999999999E-3</v>
      </c>
      <c r="G12">
        <v>-16.100000000000001</v>
      </c>
      <c r="H12">
        <v>7.76</v>
      </c>
      <c r="I12">
        <v>7.1999999999999995E-2</v>
      </c>
      <c r="J12">
        <v>173984</v>
      </c>
      <c r="K12">
        <v>41020</v>
      </c>
      <c r="L12">
        <v>4135034</v>
      </c>
      <c r="M12">
        <v>15.29</v>
      </c>
      <c r="N12">
        <v>-3</v>
      </c>
      <c r="O12">
        <v>60.69</v>
      </c>
      <c r="P12">
        <v>333925</v>
      </c>
      <c r="Q12">
        <v>486975</v>
      </c>
      <c r="R12">
        <v>86.6</v>
      </c>
      <c r="S12">
        <v>98.65</v>
      </c>
      <c r="T12">
        <v>26.05</v>
      </c>
      <c r="U12">
        <v>90.5</v>
      </c>
      <c r="V12">
        <v>675</v>
      </c>
      <c r="W12">
        <v>87.5</v>
      </c>
      <c r="X12">
        <v>88.8</v>
      </c>
      <c r="Y12">
        <v>450</v>
      </c>
      <c r="Z12">
        <v>87.5</v>
      </c>
      <c r="AA12">
        <v>22200</v>
      </c>
      <c r="AB12">
        <v>144.55000000000001</v>
      </c>
      <c r="AC12">
        <v>250</v>
      </c>
      <c r="AD12">
        <v>144</v>
      </c>
      <c r="AE12">
        <v>146.75</v>
      </c>
      <c r="AF12">
        <v>150</v>
      </c>
      <c r="AG12">
        <v>225</v>
      </c>
      <c r="AH12">
        <v>407.2</v>
      </c>
      <c r="AI12">
        <v>143</v>
      </c>
      <c r="AJ12">
        <v>218.3</v>
      </c>
      <c r="AK12">
        <v>68850</v>
      </c>
      <c r="AL12">
        <v>60925</v>
      </c>
      <c r="AM12">
        <v>228.8</v>
      </c>
      <c r="AN12">
        <v>-73.75</v>
      </c>
      <c r="AO12">
        <v>12.61</v>
      </c>
      <c r="AP12">
        <v>640819</v>
      </c>
      <c r="AQ12">
        <v>11223</v>
      </c>
      <c r="AR12">
        <v>52339</v>
      </c>
      <c r="AS12">
        <v>-0.114</v>
      </c>
      <c r="AT12">
        <v>7.76</v>
      </c>
      <c r="AU12">
        <v>-16.100000000000001</v>
      </c>
      <c r="AV12">
        <v>1.2999999999999999E-3</v>
      </c>
      <c r="AW12">
        <v>-0.6</v>
      </c>
    </row>
    <row r="13" spans="1:49" x14ac:dyDescent="0.25">
      <c r="A13" t="s">
        <v>15</v>
      </c>
      <c r="B13">
        <v>22200</v>
      </c>
      <c r="E13">
        <v>0.34</v>
      </c>
      <c r="F13">
        <v>1.1999999999999999E-3</v>
      </c>
      <c r="G13">
        <v>-14.46</v>
      </c>
      <c r="H13">
        <v>7.34</v>
      </c>
      <c r="I13">
        <v>6.0999999999999999E-2</v>
      </c>
      <c r="J13">
        <v>64546</v>
      </c>
      <c r="K13">
        <v>14464</v>
      </c>
      <c r="L13">
        <v>1795625</v>
      </c>
      <c r="M13">
        <v>15.13</v>
      </c>
      <c r="N13">
        <v>-4.7999999999999972</v>
      </c>
      <c r="O13">
        <v>45.41</v>
      </c>
      <c r="P13">
        <v>67800</v>
      </c>
      <c r="Q13">
        <v>174425</v>
      </c>
      <c r="R13">
        <v>69.2</v>
      </c>
      <c r="S13">
        <v>77.5</v>
      </c>
      <c r="T13">
        <v>19.95</v>
      </c>
      <c r="U13">
        <v>72.8</v>
      </c>
      <c r="V13">
        <v>2950</v>
      </c>
      <c r="W13">
        <v>68</v>
      </c>
      <c r="X13">
        <v>68.95</v>
      </c>
      <c r="Y13">
        <v>225</v>
      </c>
      <c r="Z13">
        <v>68</v>
      </c>
      <c r="AA13">
        <v>22250</v>
      </c>
      <c r="AB13">
        <v>175.6</v>
      </c>
      <c r="AC13">
        <v>25</v>
      </c>
      <c r="AD13">
        <v>174.05</v>
      </c>
      <c r="AE13">
        <v>177.55</v>
      </c>
      <c r="AF13">
        <v>25</v>
      </c>
      <c r="AG13">
        <v>261</v>
      </c>
      <c r="AH13">
        <v>450.85</v>
      </c>
      <c r="AI13">
        <v>174.85</v>
      </c>
      <c r="AJ13">
        <v>249.65</v>
      </c>
      <c r="AK13">
        <v>8275</v>
      </c>
      <c r="AL13">
        <v>18750</v>
      </c>
      <c r="AM13">
        <v>250.56</v>
      </c>
      <c r="AN13">
        <v>-74.050000000000011</v>
      </c>
      <c r="AO13">
        <v>12.34</v>
      </c>
      <c r="AP13">
        <v>102226</v>
      </c>
      <c r="AQ13">
        <v>2113</v>
      </c>
      <c r="AR13">
        <v>10092</v>
      </c>
      <c r="AS13">
        <v>-0.128</v>
      </c>
      <c r="AT13">
        <v>7.34</v>
      </c>
      <c r="AU13">
        <v>-14.46</v>
      </c>
      <c r="AV13">
        <v>1.1999999999999999E-3</v>
      </c>
      <c r="AW13">
        <v>-0.66</v>
      </c>
    </row>
    <row r="14" spans="1:49" x14ac:dyDescent="0.25">
      <c r="A14" t="s">
        <v>16</v>
      </c>
      <c r="B14">
        <v>87.5</v>
      </c>
      <c r="C14">
        <v>144.55000000000001</v>
      </c>
      <c r="E14">
        <v>0.28000000000000003</v>
      </c>
      <c r="F14">
        <v>1.1000000000000001E-3</v>
      </c>
      <c r="G14">
        <v>-12.62</v>
      </c>
      <c r="H14">
        <v>6.77</v>
      </c>
      <c r="I14">
        <v>5.0999999999999997E-2</v>
      </c>
      <c r="J14">
        <v>204110</v>
      </c>
      <c r="K14">
        <v>46344</v>
      </c>
      <c r="L14">
        <v>3234999</v>
      </c>
      <c r="M14">
        <v>15.1</v>
      </c>
      <c r="N14">
        <v>-5.1500000000000057</v>
      </c>
      <c r="O14">
        <v>35.770000000000003</v>
      </c>
      <c r="P14">
        <v>243775</v>
      </c>
      <c r="Q14">
        <v>415375</v>
      </c>
      <c r="R14">
        <v>50</v>
      </c>
      <c r="S14">
        <v>60.3</v>
      </c>
      <c r="T14">
        <v>15.3</v>
      </c>
      <c r="U14">
        <v>57.7</v>
      </c>
      <c r="V14">
        <v>200</v>
      </c>
      <c r="W14">
        <v>52.1</v>
      </c>
      <c r="X14">
        <v>52.55</v>
      </c>
      <c r="Y14">
        <v>175</v>
      </c>
      <c r="Z14">
        <v>52.55</v>
      </c>
      <c r="AA14">
        <v>22300</v>
      </c>
      <c r="AB14">
        <v>209</v>
      </c>
      <c r="AC14">
        <v>50</v>
      </c>
      <c r="AD14">
        <v>208.05</v>
      </c>
      <c r="AE14">
        <v>210.8</v>
      </c>
      <c r="AF14">
        <v>50</v>
      </c>
      <c r="AG14">
        <v>290</v>
      </c>
      <c r="AH14">
        <v>496</v>
      </c>
      <c r="AI14">
        <v>207.1</v>
      </c>
      <c r="AJ14">
        <v>286.3</v>
      </c>
      <c r="AK14">
        <v>64675</v>
      </c>
      <c r="AL14">
        <v>21550</v>
      </c>
      <c r="AM14">
        <v>311.45999999999998</v>
      </c>
      <c r="AN14">
        <v>-77.300000000000011</v>
      </c>
      <c r="AO14">
        <v>11.82</v>
      </c>
      <c r="AP14">
        <v>215270</v>
      </c>
      <c r="AQ14">
        <v>-847</v>
      </c>
      <c r="AR14">
        <v>37384</v>
      </c>
      <c r="AS14">
        <v>-0.14199999999999999</v>
      </c>
      <c r="AT14">
        <v>6.77</v>
      </c>
      <c r="AU14">
        <v>-12.62</v>
      </c>
      <c r="AV14">
        <v>1.1000000000000001E-3</v>
      </c>
      <c r="AW14">
        <v>-0.72</v>
      </c>
    </row>
    <row r="15" spans="1:49" x14ac:dyDescent="0.25">
      <c r="A15" t="s">
        <v>17</v>
      </c>
      <c r="B15">
        <v>3512802</v>
      </c>
      <c r="C15">
        <v>2730798</v>
      </c>
      <c r="E15">
        <v>0.23</v>
      </c>
      <c r="F15">
        <v>1E-3</v>
      </c>
      <c r="G15">
        <v>-10.55</v>
      </c>
      <c r="H15">
        <v>6.07</v>
      </c>
      <c r="I15">
        <v>4.1000000000000002E-2</v>
      </c>
      <c r="J15">
        <v>77202</v>
      </c>
      <c r="K15">
        <v>24326</v>
      </c>
      <c r="L15">
        <v>1423291</v>
      </c>
      <c r="M15">
        <v>15.11</v>
      </c>
      <c r="N15">
        <v>-5.4500000000000028</v>
      </c>
      <c r="O15">
        <v>26.78</v>
      </c>
      <c r="P15">
        <v>158300</v>
      </c>
      <c r="Q15">
        <v>154475</v>
      </c>
      <c r="R15">
        <v>46.5</v>
      </c>
      <c r="S15">
        <v>46.65</v>
      </c>
      <c r="T15">
        <v>12</v>
      </c>
      <c r="U15">
        <v>45.5</v>
      </c>
      <c r="V15">
        <v>1100</v>
      </c>
      <c r="W15">
        <v>39.200000000000003</v>
      </c>
      <c r="X15">
        <v>40</v>
      </c>
      <c r="Y15">
        <v>50</v>
      </c>
      <c r="Z15">
        <v>40.049999999999997</v>
      </c>
      <c r="AA15">
        <v>22350</v>
      </c>
      <c r="AB15">
        <v>248.9</v>
      </c>
      <c r="AC15">
        <v>3425</v>
      </c>
      <c r="AD15">
        <v>240.15</v>
      </c>
      <c r="AE15">
        <v>249.7</v>
      </c>
      <c r="AF15">
        <v>25</v>
      </c>
      <c r="AG15">
        <v>336.45</v>
      </c>
      <c r="AH15">
        <v>540</v>
      </c>
      <c r="AI15">
        <v>243.3</v>
      </c>
      <c r="AJ15">
        <v>323.60000000000002</v>
      </c>
      <c r="AK15">
        <v>8725</v>
      </c>
      <c r="AL15">
        <v>11875</v>
      </c>
      <c r="AM15">
        <v>344.47</v>
      </c>
      <c r="AN15">
        <v>-74.700000000000017</v>
      </c>
      <c r="AO15">
        <v>11.77</v>
      </c>
      <c r="AP15">
        <v>26623</v>
      </c>
      <c r="AQ15">
        <v>262</v>
      </c>
      <c r="AR15">
        <v>6037</v>
      </c>
      <c r="AS15">
        <v>-0.153</v>
      </c>
      <c r="AT15">
        <v>6.07</v>
      </c>
      <c r="AU15">
        <v>-10.55</v>
      </c>
      <c r="AV15">
        <v>1E-3</v>
      </c>
      <c r="AW15">
        <v>-0.77</v>
      </c>
    </row>
    <row r="16" spans="1:49" x14ac:dyDescent="0.25">
      <c r="A16" t="s">
        <v>18</v>
      </c>
      <c r="B16">
        <v>292562</v>
      </c>
      <c r="C16">
        <v>565084</v>
      </c>
      <c r="E16">
        <v>0.18</v>
      </c>
      <c r="F16">
        <v>8.9999999999999998E-4</v>
      </c>
      <c r="G16">
        <v>-8.19</v>
      </c>
      <c r="H16">
        <v>5.29</v>
      </c>
      <c r="I16">
        <v>3.3000000000000002E-2</v>
      </c>
      <c r="J16">
        <v>176606</v>
      </c>
      <c r="K16">
        <v>40089</v>
      </c>
      <c r="L16">
        <v>2278304</v>
      </c>
      <c r="M16">
        <v>15.02</v>
      </c>
      <c r="N16">
        <v>-5.6000000000000014</v>
      </c>
      <c r="O16">
        <v>20.89</v>
      </c>
      <c r="P16">
        <v>382800</v>
      </c>
      <c r="Q16">
        <v>262475</v>
      </c>
      <c r="R16">
        <v>30.2</v>
      </c>
      <c r="S16">
        <v>35.700000000000003</v>
      </c>
      <c r="T16">
        <v>9.5</v>
      </c>
      <c r="U16">
        <v>35.1</v>
      </c>
      <c r="V16">
        <v>25</v>
      </c>
      <c r="W16">
        <v>29.2</v>
      </c>
      <c r="X16">
        <v>29.65</v>
      </c>
      <c r="Y16">
        <v>100</v>
      </c>
      <c r="Z16">
        <v>29.5</v>
      </c>
      <c r="AA16">
        <v>22400</v>
      </c>
      <c r="AB16">
        <v>286</v>
      </c>
      <c r="AC16">
        <v>75</v>
      </c>
      <c r="AD16">
        <v>285.05</v>
      </c>
      <c r="AE16">
        <v>289.25</v>
      </c>
      <c r="AF16">
        <v>100</v>
      </c>
      <c r="AG16">
        <v>378.85</v>
      </c>
      <c r="AH16">
        <v>588.5</v>
      </c>
      <c r="AI16">
        <v>282.39999999999998</v>
      </c>
      <c r="AJ16">
        <v>363.15</v>
      </c>
      <c r="AK16">
        <v>51125</v>
      </c>
      <c r="AL16">
        <v>18775</v>
      </c>
      <c r="AM16">
        <v>420.92</v>
      </c>
      <c r="AN16">
        <v>-77.149999999999977</v>
      </c>
      <c r="AO16">
        <v>10.210000000000001</v>
      </c>
      <c r="AP16">
        <v>87477</v>
      </c>
      <c r="AQ16">
        <v>-801</v>
      </c>
      <c r="AR16">
        <v>24453</v>
      </c>
      <c r="AS16">
        <v>-0.16800000000000001</v>
      </c>
      <c r="AT16">
        <v>5.29</v>
      </c>
      <c r="AU16">
        <v>-8.19</v>
      </c>
      <c r="AV16">
        <v>8.9999999999999998E-4</v>
      </c>
      <c r="AW16">
        <v>-0.82</v>
      </c>
    </row>
    <row r="17" spans="1:49" x14ac:dyDescent="0.25">
      <c r="A17" t="s">
        <v>19</v>
      </c>
      <c r="B17">
        <v>250525</v>
      </c>
      <c r="C17">
        <v>230223</v>
      </c>
      <c r="E17">
        <v>0.14000000000000001</v>
      </c>
      <c r="F17">
        <v>6.9999999999999999E-4</v>
      </c>
      <c r="G17">
        <v>-6.08</v>
      </c>
      <c r="H17">
        <v>4.5199999999999996</v>
      </c>
      <c r="I17">
        <v>2.5999999999999999E-2</v>
      </c>
      <c r="J17">
        <v>63165</v>
      </c>
      <c r="K17">
        <v>15946</v>
      </c>
      <c r="L17">
        <v>1291374</v>
      </c>
      <c r="M17">
        <v>15.09</v>
      </c>
      <c r="N17">
        <v>-5.1000000000000014</v>
      </c>
      <c r="O17">
        <v>15.44</v>
      </c>
      <c r="P17">
        <v>195950</v>
      </c>
      <c r="Q17">
        <v>128050</v>
      </c>
      <c r="R17">
        <v>25.2</v>
      </c>
      <c r="S17">
        <v>27.2</v>
      </c>
      <c r="T17">
        <v>7.65</v>
      </c>
      <c r="U17">
        <v>27.05</v>
      </c>
      <c r="V17">
        <v>1750</v>
      </c>
      <c r="W17">
        <v>21.85</v>
      </c>
      <c r="X17">
        <v>21.95</v>
      </c>
      <c r="Y17">
        <v>525</v>
      </c>
      <c r="Z17">
        <v>21.95</v>
      </c>
      <c r="AA17">
        <v>22450</v>
      </c>
      <c r="AB17">
        <v>329.65</v>
      </c>
      <c r="AC17">
        <v>3275</v>
      </c>
      <c r="AD17">
        <v>298.25</v>
      </c>
      <c r="AE17">
        <v>331.9</v>
      </c>
      <c r="AF17">
        <v>125</v>
      </c>
      <c r="AG17">
        <v>426.45</v>
      </c>
      <c r="AH17">
        <v>636.70000000000005</v>
      </c>
      <c r="AI17">
        <v>324.35000000000002</v>
      </c>
      <c r="AJ17">
        <v>405.05</v>
      </c>
      <c r="AK17">
        <v>124725</v>
      </c>
      <c r="AL17">
        <v>11100</v>
      </c>
      <c r="AM17">
        <v>416.26</v>
      </c>
      <c r="AN17">
        <v>-75.400000000000034</v>
      </c>
      <c r="AO17">
        <v>8.7100000000000009</v>
      </c>
      <c r="AP17">
        <v>7346</v>
      </c>
      <c r="AQ17">
        <v>-130</v>
      </c>
      <c r="AR17">
        <v>2689</v>
      </c>
      <c r="AS17">
        <v>-0.17899999999999999</v>
      </c>
      <c r="AT17">
        <v>4.5199999999999996</v>
      </c>
      <c r="AU17">
        <v>-6.08</v>
      </c>
      <c r="AV17">
        <v>6.9999999999999999E-4</v>
      </c>
      <c r="AW17">
        <v>-0.86</v>
      </c>
    </row>
    <row r="18" spans="1:49" x14ac:dyDescent="0.25">
      <c r="A18" t="s">
        <v>20</v>
      </c>
      <c r="B18">
        <v>23000</v>
      </c>
      <c r="C18">
        <v>21000</v>
      </c>
      <c r="E18">
        <v>0.11</v>
      </c>
      <c r="F18">
        <v>5.9999999999999995E-4</v>
      </c>
      <c r="G18">
        <v>-4.22</v>
      </c>
      <c r="H18">
        <v>3.82</v>
      </c>
      <c r="I18">
        <v>0.02</v>
      </c>
      <c r="J18">
        <v>213092</v>
      </c>
      <c r="K18">
        <v>-5709</v>
      </c>
      <c r="L18">
        <v>2717702</v>
      </c>
      <c r="M18">
        <v>15.27</v>
      </c>
      <c r="N18">
        <v>-3.9499999999999993</v>
      </c>
      <c r="O18">
        <v>11.54</v>
      </c>
      <c r="P18">
        <v>377650</v>
      </c>
      <c r="Q18">
        <v>510775</v>
      </c>
      <c r="R18">
        <v>17.3</v>
      </c>
      <c r="S18">
        <v>20.5</v>
      </c>
      <c r="T18">
        <v>6.25</v>
      </c>
      <c r="U18">
        <v>20.45</v>
      </c>
      <c r="V18">
        <v>525</v>
      </c>
      <c r="W18">
        <v>15.8</v>
      </c>
      <c r="X18">
        <v>16.5</v>
      </c>
      <c r="Y18">
        <v>3100</v>
      </c>
      <c r="Z18">
        <v>16.5</v>
      </c>
      <c r="AA18">
        <v>22500</v>
      </c>
      <c r="AB18">
        <v>371.9</v>
      </c>
      <c r="AC18">
        <v>25</v>
      </c>
      <c r="AD18">
        <v>372.9</v>
      </c>
      <c r="AE18">
        <v>374.5</v>
      </c>
      <c r="AF18">
        <v>250</v>
      </c>
      <c r="AG18">
        <v>460</v>
      </c>
      <c r="AH18">
        <v>687.85</v>
      </c>
      <c r="AI18">
        <v>367.2</v>
      </c>
      <c r="AJ18">
        <v>447</v>
      </c>
      <c r="AK18">
        <v>32025</v>
      </c>
      <c r="AL18">
        <v>18750</v>
      </c>
      <c r="AM18">
        <v>511.89</v>
      </c>
      <c r="AN18">
        <v>-75.100000000000023</v>
      </c>
      <c r="AO18">
        <v>0</v>
      </c>
      <c r="AP18">
        <v>98876</v>
      </c>
      <c r="AQ18">
        <v>-7182</v>
      </c>
      <c r="AR18">
        <v>35482</v>
      </c>
      <c r="AS18">
        <v>-0.185</v>
      </c>
      <c r="AT18">
        <v>3.82</v>
      </c>
      <c r="AU18">
        <v>-4.22</v>
      </c>
      <c r="AV18">
        <v>5.9999999999999995E-4</v>
      </c>
      <c r="AW18">
        <v>-0.89</v>
      </c>
    </row>
    <row r="19" spans="1:49" x14ac:dyDescent="0.25">
      <c r="A19" t="s">
        <v>21</v>
      </c>
      <c r="B19">
        <v>1.65</v>
      </c>
      <c r="C19">
        <v>1.95</v>
      </c>
      <c r="E19">
        <v>0.08</v>
      </c>
      <c r="F19">
        <v>5.0000000000000001E-4</v>
      </c>
      <c r="G19">
        <v>-2.2000000000000002</v>
      </c>
      <c r="H19">
        <v>3.09</v>
      </c>
      <c r="I19">
        <v>1.4999999999999999E-2</v>
      </c>
      <c r="J19">
        <v>74175</v>
      </c>
      <c r="K19">
        <v>21724</v>
      </c>
      <c r="L19">
        <v>1170411</v>
      </c>
      <c r="M19">
        <v>15.25</v>
      </c>
      <c r="N19">
        <v>-3.6000000000000014</v>
      </c>
      <c r="O19">
        <v>8.39</v>
      </c>
      <c r="P19">
        <v>123550</v>
      </c>
      <c r="Q19">
        <v>196275</v>
      </c>
      <c r="R19">
        <v>15.3</v>
      </c>
      <c r="S19">
        <v>15.45</v>
      </c>
      <c r="T19">
        <v>5.0999999999999996</v>
      </c>
      <c r="U19">
        <v>15.3</v>
      </c>
      <c r="V19">
        <v>975</v>
      </c>
      <c r="W19">
        <v>11.05</v>
      </c>
      <c r="X19">
        <v>11.8</v>
      </c>
      <c r="Y19">
        <v>1050</v>
      </c>
      <c r="Z19">
        <v>11.7</v>
      </c>
      <c r="AA19">
        <v>22550</v>
      </c>
      <c r="AB19">
        <v>422.05</v>
      </c>
      <c r="AC19">
        <v>3050</v>
      </c>
      <c r="AD19">
        <v>386.8</v>
      </c>
      <c r="AE19">
        <v>421.8</v>
      </c>
      <c r="AF19">
        <v>50</v>
      </c>
      <c r="AG19">
        <v>515.1</v>
      </c>
      <c r="AH19">
        <v>734.15</v>
      </c>
      <c r="AI19">
        <v>413.95</v>
      </c>
      <c r="AJ19">
        <v>490.55</v>
      </c>
      <c r="AK19">
        <v>9325</v>
      </c>
      <c r="AL19">
        <v>9000</v>
      </c>
      <c r="AM19">
        <v>590.21</v>
      </c>
      <c r="AN19">
        <v>-68.5</v>
      </c>
      <c r="AO19">
        <v>0</v>
      </c>
      <c r="AP19">
        <v>2755</v>
      </c>
      <c r="AQ19">
        <v>-206</v>
      </c>
      <c r="AR19">
        <v>2254</v>
      </c>
      <c r="AS19">
        <v>-0.185</v>
      </c>
      <c r="AT19">
        <v>3.09</v>
      </c>
      <c r="AU19">
        <v>-2.2000000000000002</v>
      </c>
      <c r="AV19">
        <v>5.0000000000000001E-4</v>
      </c>
      <c r="AW19">
        <v>-0.92</v>
      </c>
    </row>
    <row r="20" spans="1:49" x14ac:dyDescent="0.25">
      <c r="A20" t="s">
        <v>22</v>
      </c>
      <c r="B20">
        <v>46551</v>
      </c>
      <c r="C20">
        <v>56600</v>
      </c>
      <c r="E20">
        <v>0.06</v>
      </c>
      <c r="F20">
        <v>4.0000000000000002E-4</v>
      </c>
      <c r="G20">
        <v>-0.64</v>
      </c>
      <c r="H20">
        <v>2.5099999999999998</v>
      </c>
      <c r="I20">
        <v>1.2E-2</v>
      </c>
      <c r="J20">
        <v>149641</v>
      </c>
      <c r="K20">
        <v>46551</v>
      </c>
      <c r="L20">
        <v>1775166</v>
      </c>
      <c r="M20">
        <v>15.41</v>
      </c>
      <c r="N20">
        <v>-3.0999999999999996</v>
      </c>
      <c r="O20">
        <v>6.46</v>
      </c>
      <c r="P20">
        <v>379850</v>
      </c>
      <c r="Q20">
        <v>166500</v>
      </c>
      <c r="R20">
        <v>10.4</v>
      </c>
      <c r="S20">
        <v>11.6</v>
      </c>
      <c r="T20">
        <v>4.1500000000000004</v>
      </c>
      <c r="U20">
        <v>11.65</v>
      </c>
      <c r="V20">
        <v>1050</v>
      </c>
      <c r="W20">
        <v>8.5500000000000007</v>
      </c>
      <c r="X20">
        <v>8.75</v>
      </c>
      <c r="Y20">
        <v>375</v>
      </c>
      <c r="Z20">
        <v>8.5500000000000007</v>
      </c>
      <c r="AA20">
        <v>22600</v>
      </c>
      <c r="AB20">
        <v>469.3</v>
      </c>
      <c r="AC20">
        <v>2600</v>
      </c>
      <c r="AD20">
        <v>462</v>
      </c>
      <c r="AE20">
        <v>469.2</v>
      </c>
      <c r="AF20">
        <v>1025</v>
      </c>
      <c r="AG20">
        <v>567.70000000000005</v>
      </c>
      <c r="AH20">
        <v>785</v>
      </c>
      <c r="AI20">
        <v>460</v>
      </c>
      <c r="AJ20">
        <v>539.6</v>
      </c>
      <c r="AK20">
        <v>9950</v>
      </c>
      <c r="AL20">
        <v>8925</v>
      </c>
      <c r="AM20">
        <v>638.69000000000005</v>
      </c>
      <c r="AN20">
        <v>-70.300000000000011</v>
      </c>
      <c r="AO20">
        <v>0</v>
      </c>
      <c r="AP20">
        <v>6208</v>
      </c>
      <c r="AQ20">
        <v>-311</v>
      </c>
      <c r="AR20">
        <v>10105</v>
      </c>
      <c r="AS20">
        <v>-0.186</v>
      </c>
      <c r="AT20">
        <v>2.5099999999999998</v>
      </c>
      <c r="AU20">
        <v>-0.64</v>
      </c>
      <c r="AV20">
        <v>4.0000000000000002E-4</v>
      </c>
      <c r="AW20">
        <v>-0.94</v>
      </c>
    </row>
    <row r="21" spans="1:49" x14ac:dyDescent="0.25">
      <c r="A21" t="s">
        <v>23</v>
      </c>
      <c r="B21">
        <v>22600</v>
      </c>
      <c r="C21">
        <v>21800</v>
      </c>
      <c r="E21">
        <v>0.05</v>
      </c>
      <c r="F21">
        <v>2.9999999999999997E-4</v>
      </c>
      <c r="G21">
        <v>0.84</v>
      </c>
      <c r="H21">
        <v>1.97</v>
      </c>
      <c r="I21">
        <v>8.0000000000000002E-3</v>
      </c>
      <c r="J21">
        <v>66498</v>
      </c>
      <c r="K21">
        <v>23388</v>
      </c>
      <c r="L21">
        <v>904029</v>
      </c>
      <c r="M21">
        <v>15.47</v>
      </c>
      <c r="N21">
        <v>-3</v>
      </c>
      <c r="O21">
        <v>5.08</v>
      </c>
      <c r="P21">
        <v>148575</v>
      </c>
      <c r="Q21">
        <v>97975</v>
      </c>
      <c r="R21">
        <v>8</v>
      </c>
      <c r="S21">
        <v>8.75</v>
      </c>
      <c r="T21">
        <v>3.4</v>
      </c>
      <c r="U21">
        <v>9</v>
      </c>
      <c r="V21">
        <v>750</v>
      </c>
      <c r="W21">
        <v>6</v>
      </c>
      <c r="X21">
        <v>6.5</v>
      </c>
      <c r="Y21">
        <v>1025</v>
      </c>
      <c r="Z21">
        <v>6</v>
      </c>
      <c r="AA21">
        <v>22650</v>
      </c>
      <c r="AB21">
        <v>519.29999999999995</v>
      </c>
      <c r="AC21">
        <v>275</v>
      </c>
      <c r="AD21">
        <v>480.05</v>
      </c>
      <c r="AE21">
        <v>517.6</v>
      </c>
      <c r="AF21">
        <v>100</v>
      </c>
      <c r="AG21">
        <v>659.15</v>
      </c>
      <c r="AH21">
        <v>826.85</v>
      </c>
      <c r="AI21">
        <v>513</v>
      </c>
      <c r="AJ21">
        <v>583.75</v>
      </c>
      <c r="AK21">
        <v>4300</v>
      </c>
      <c r="AL21">
        <v>5100</v>
      </c>
      <c r="AM21">
        <v>617.99</v>
      </c>
      <c r="AN21">
        <v>-64.450000000000045</v>
      </c>
      <c r="AO21">
        <v>0</v>
      </c>
      <c r="AP21">
        <v>853</v>
      </c>
      <c r="AQ21">
        <v>-114</v>
      </c>
      <c r="AR21">
        <v>1895</v>
      </c>
      <c r="AS21">
        <v>-0.186</v>
      </c>
      <c r="AT21">
        <v>1.97</v>
      </c>
      <c r="AU21">
        <v>0.84</v>
      </c>
      <c r="AV21">
        <v>2.9999999999999997E-4</v>
      </c>
      <c r="AW21">
        <v>-0.95</v>
      </c>
    </row>
    <row r="22" spans="1:49" x14ac:dyDescent="0.25">
      <c r="A22" t="s">
        <v>24</v>
      </c>
      <c r="B22">
        <v>8.5500000000000007</v>
      </c>
      <c r="C22">
        <v>23.05</v>
      </c>
      <c r="E22">
        <v>0.04</v>
      </c>
      <c r="F22">
        <v>2.9999999999999997E-4</v>
      </c>
      <c r="G22">
        <v>1.76</v>
      </c>
      <c r="H22">
        <v>1.61</v>
      </c>
      <c r="I22">
        <v>7.0000000000000001E-3</v>
      </c>
      <c r="J22">
        <v>141652</v>
      </c>
      <c r="K22">
        <v>2318</v>
      </c>
      <c r="L22">
        <v>1496774</v>
      </c>
      <c r="M22">
        <v>15.81</v>
      </c>
      <c r="N22">
        <v>-2.4000000000000004</v>
      </c>
      <c r="O22">
        <v>4.08</v>
      </c>
      <c r="P22">
        <v>210675</v>
      </c>
      <c r="Q22">
        <v>236975</v>
      </c>
      <c r="R22">
        <v>6.9</v>
      </c>
      <c r="S22">
        <v>6.9</v>
      </c>
      <c r="T22">
        <v>2.65</v>
      </c>
      <c r="U22">
        <v>7</v>
      </c>
      <c r="V22">
        <v>450</v>
      </c>
      <c r="W22">
        <v>4.3</v>
      </c>
      <c r="X22">
        <v>4.5999999999999996</v>
      </c>
      <c r="Y22">
        <v>5025</v>
      </c>
      <c r="Z22">
        <v>4.5999999999999996</v>
      </c>
      <c r="AA22">
        <v>22700</v>
      </c>
      <c r="AB22">
        <v>567.6</v>
      </c>
      <c r="AC22">
        <v>1675</v>
      </c>
      <c r="AD22">
        <v>558.04999999999995</v>
      </c>
      <c r="AE22">
        <v>597.5</v>
      </c>
      <c r="AF22">
        <v>2300</v>
      </c>
      <c r="AG22">
        <v>685.95</v>
      </c>
      <c r="AH22">
        <v>876.4</v>
      </c>
      <c r="AI22">
        <v>556.1</v>
      </c>
      <c r="AJ22">
        <v>640.65</v>
      </c>
      <c r="AK22">
        <v>7975</v>
      </c>
      <c r="AL22">
        <v>9025</v>
      </c>
      <c r="AM22">
        <v>667.53</v>
      </c>
      <c r="AN22">
        <v>-73.049999999999955</v>
      </c>
      <c r="AO22">
        <v>0</v>
      </c>
      <c r="AP22">
        <v>3795</v>
      </c>
      <c r="AQ22">
        <v>-939</v>
      </c>
      <c r="AR22">
        <v>5662</v>
      </c>
      <c r="AS22">
        <v>-0.186</v>
      </c>
      <c r="AT22">
        <v>1.61</v>
      </c>
      <c r="AU22">
        <v>1.76</v>
      </c>
      <c r="AV22">
        <v>2.9999999999999997E-4</v>
      </c>
      <c r="AW22">
        <v>-0.96</v>
      </c>
    </row>
    <row r="23" spans="1:49" x14ac:dyDescent="0.25">
      <c r="A23" t="s">
        <v>25</v>
      </c>
      <c r="B23">
        <v>23254</v>
      </c>
      <c r="C23">
        <v>12766</v>
      </c>
    </row>
    <row r="24" spans="1:49" x14ac:dyDescent="0.25">
      <c r="A24" t="s">
        <v>26</v>
      </c>
      <c r="B24">
        <v>23000</v>
      </c>
      <c r="C24">
        <v>22000</v>
      </c>
    </row>
    <row r="25" spans="1:49" x14ac:dyDescent="0.25">
      <c r="A25" t="s">
        <v>27</v>
      </c>
      <c r="B25">
        <v>1.65</v>
      </c>
      <c r="C25">
        <v>59.7</v>
      </c>
    </row>
    <row r="26" spans="1:49" x14ac:dyDescent="0.25">
      <c r="A26" t="s">
        <v>28</v>
      </c>
      <c r="B26">
        <v>53433015</v>
      </c>
      <c r="C26">
        <v>50912610</v>
      </c>
    </row>
    <row r="27" spans="1:49" x14ac:dyDescent="0.25">
      <c r="A27" t="s">
        <v>29</v>
      </c>
      <c r="B27">
        <v>22000</v>
      </c>
      <c r="C27">
        <v>21900</v>
      </c>
    </row>
    <row r="28" spans="1:49" x14ac:dyDescent="0.25">
      <c r="A28" t="s">
        <v>30</v>
      </c>
      <c r="B28">
        <v>202</v>
      </c>
      <c r="C28">
        <v>36.049999999999997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D844-705B-48E0-BE22-A9D08C5AC4E3}">
  <dimension ref="A1:AW28"/>
  <sheetViews>
    <sheetView workbookViewId="0"/>
  </sheetViews>
  <sheetFormatPr defaultRowHeight="15" x14ac:dyDescent="0.25"/>
  <sheetData>
    <row r="1" spans="1:49" x14ac:dyDescent="0.25">
      <c r="A1" t="s">
        <v>0</v>
      </c>
      <c r="B1" t="s">
        <v>1</v>
      </c>
      <c r="C1" t="s">
        <v>2</v>
      </c>
      <c r="E1" t="s">
        <v>31</v>
      </c>
      <c r="F1" t="s">
        <v>32</v>
      </c>
      <c r="G1" t="s">
        <v>33</v>
      </c>
      <c r="H1" t="s">
        <v>34</v>
      </c>
      <c r="I1" t="s">
        <v>35</v>
      </c>
      <c r="J1" t="s">
        <v>36</v>
      </c>
      <c r="K1" t="s">
        <v>37</v>
      </c>
      <c r="L1" t="s">
        <v>38</v>
      </c>
      <c r="M1" t="s">
        <v>39</v>
      </c>
      <c r="N1" t="s">
        <v>40</v>
      </c>
      <c r="O1" t="s">
        <v>41</v>
      </c>
      <c r="P1" t="s">
        <v>42</v>
      </c>
      <c r="Q1" t="s">
        <v>43</v>
      </c>
      <c r="R1" t="s">
        <v>44</v>
      </c>
      <c r="S1" t="s">
        <v>45</v>
      </c>
      <c r="T1" t="s">
        <v>46</v>
      </c>
      <c r="U1" t="s">
        <v>47</v>
      </c>
      <c r="V1" t="s">
        <v>48</v>
      </c>
      <c r="W1" t="s">
        <v>49</v>
      </c>
      <c r="X1" t="s">
        <v>50</v>
      </c>
      <c r="Y1" t="s">
        <v>51</v>
      </c>
      <c r="Z1" t="s">
        <v>52</v>
      </c>
      <c r="AA1" t="s">
        <v>53</v>
      </c>
      <c r="AB1" t="s">
        <v>54</v>
      </c>
      <c r="AC1" t="s">
        <v>55</v>
      </c>
      <c r="AD1" t="s">
        <v>56</v>
      </c>
      <c r="AE1" t="s">
        <v>57</v>
      </c>
      <c r="AF1" t="s">
        <v>58</v>
      </c>
      <c r="AG1" t="s">
        <v>59</v>
      </c>
      <c r="AH1" t="s">
        <v>60</v>
      </c>
      <c r="AI1" t="s">
        <v>61</v>
      </c>
      <c r="AJ1" t="s">
        <v>62</v>
      </c>
      <c r="AK1" t="s">
        <v>63</v>
      </c>
      <c r="AL1" t="s">
        <v>64</v>
      </c>
      <c r="AM1" t="s">
        <v>65</v>
      </c>
      <c r="AN1" t="s">
        <v>66</v>
      </c>
      <c r="AO1" t="s">
        <v>67</v>
      </c>
      <c r="AP1" t="s">
        <v>68</v>
      </c>
      <c r="AQ1" t="s">
        <v>69</v>
      </c>
      <c r="AR1" t="s">
        <v>70</v>
      </c>
      <c r="AS1" t="s">
        <v>71</v>
      </c>
      <c r="AT1" t="s">
        <v>72</v>
      </c>
      <c r="AU1" t="s">
        <v>73</v>
      </c>
      <c r="AV1" t="s">
        <v>74</v>
      </c>
      <c r="AW1" t="s">
        <v>75</v>
      </c>
    </row>
    <row r="2" spans="1:49" x14ac:dyDescent="0.25">
      <c r="A2" t="s">
        <v>3</v>
      </c>
      <c r="B2" t="s">
        <v>140</v>
      </c>
      <c r="E2">
        <v>1</v>
      </c>
      <c r="F2">
        <v>0</v>
      </c>
      <c r="H2">
        <v>0</v>
      </c>
      <c r="I2">
        <v>0</v>
      </c>
      <c r="J2">
        <v>1167</v>
      </c>
      <c r="K2">
        <v>0</v>
      </c>
      <c r="L2">
        <v>106891</v>
      </c>
      <c r="M2">
        <v>0</v>
      </c>
      <c r="N2">
        <v>259.95000000000005</v>
      </c>
      <c r="O2">
        <v>397.86</v>
      </c>
      <c r="P2">
        <v>0</v>
      </c>
      <c r="Q2">
        <v>0</v>
      </c>
      <c r="R2">
        <v>660</v>
      </c>
      <c r="S2">
        <v>1087.5</v>
      </c>
      <c r="T2">
        <v>240.2</v>
      </c>
      <c r="U2">
        <v>744.9</v>
      </c>
      <c r="V2">
        <v>0</v>
      </c>
      <c r="W2">
        <v>0</v>
      </c>
      <c r="X2">
        <v>0</v>
      </c>
      <c r="Y2">
        <v>0</v>
      </c>
      <c r="Z2">
        <v>1004.85</v>
      </c>
      <c r="AA2">
        <v>53500</v>
      </c>
      <c r="AB2">
        <v>0.05</v>
      </c>
      <c r="AC2">
        <v>0</v>
      </c>
      <c r="AD2">
        <v>0</v>
      </c>
      <c r="AE2">
        <v>0</v>
      </c>
      <c r="AF2">
        <v>0</v>
      </c>
      <c r="AG2">
        <v>39.6</v>
      </c>
      <c r="AH2">
        <v>77</v>
      </c>
      <c r="AI2">
        <v>0.05</v>
      </c>
      <c r="AJ2">
        <v>44.85</v>
      </c>
      <c r="AK2">
        <v>0</v>
      </c>
      <c r="AL2">
        <v>0</v>
      </c>
      <c r="AM2">
        <v>20.03</v>
      </c>
      <c r="AN2">
        <v>-44.800000000000004</v>
      </c>
      <c r="AO2">
        <v>0</v>
      </c>
      <c r="AP2">
        <v>6691654</v>
      </c>
      <c r="AQ2">
        <v>0</v>
      </c>
      <c r="AR2">
        <v>24048</v>
      </c>
      <c r="AS2">
        <v>0</v>
      </c>
      <c r="AT2">
        <v>0</v>
      </c>
      <c r="AV2">
        <v>0</v>
      </c>
      <c r="AW2">
        <v>0</v>
      </c>
    </row>
    <row r="3" spans="1:49" x14ac:dyDescent="0.25">
      <c r="A3" t="s">
        <v>5</v>
      </c>
      <c r="B3" s="1">
        <v>45425</v>
      </c>
      <c r="E3">
        <v>1</v>
      </c>
      <c r="F3">
        <v>0</v>
      </c>
      <c r="H3">
        <v>0</v>
      </c>
      <c r="I3">
        <v>0</v>
      </c>
      <c r="J3">
        <v>2133</v>
      </c>
      <c r="K3">
        <v>0</v>
      </c>
      <c r="L3">
        <v>274737</v>
      </c>
      <c r="M3">
        <v>0</v>
      </c>
      <c r="N3">
        <v>234.54999999999995</v>
      </c>
      <c r="O3">
        <v>289.67</v>
      </c>
      <c r="P3">
        <v>0</v>
      </c>
      <c r="Q3">
        <v>0</v>
      </c>
      <c r="R3">
        <v>544.4</v>
      </c>
      <c r="S3">
        <v>990.8</v>
      </c>
      <c r="T3">
        <v>169.6</v>
      </c>
      <c r="U3">
        <v>669.45</v>
      </c>
      <c r="V3">
        <v>0</v>
      </c>
      <c r="W3">
        <v>0</v>
      </c>
      <c r="X3">
        <v>0</v>
      </c>
      <c r="Y3">
        <v>0</v>
      </c>
      <c r="Z3">
        <v>904</v>
      </c>
      <c r="AA3">
        <v>53600</v>
      </c>
      <c r="AB3">
        <v>0.05</v>
      </c>
      <c r="AC3">
        <v>0</v>
      </c>
      <c r="AD3">
        <v>0</v>
      </c>
      <c r="AE3">
        <v>0</v>
      </c>
      <c r="AF3">
        <v>0</v>
      </c>
      <c r="AG3">
        <v>50</v>
      </c>
      <c r="AH3">
        <v>120</v>
      </c>
      <c r="AI3">
        <v>0.05</v>
      </c>
      <c r="AJ3">
        <v>56</v>
      </c>
      <c r="AK3">
        <v>0</v>
      </c>
      <c r="AL3">
        <v>0</v>
      </c>
      <c r="AM3">
        <v>30.53</v>
      </c>
      <c r="AN3">
        <v>-55.95</v>
      </c>
      <c r="AO3">
        <v>0</v>
      </c>
      <c r="AP3">
        <v>5629606</v>
      </c>
      <c r="AQ3">
        <v>22502</v>
      </c>
      <c r="AR3">
        <v>25582</v>
      </c>
      <c r="AS3">
        <v>0</v>
      </c>
      <c r="AT3">
        <v>0</v>
      </c>
      <c r="AV3">
        <v>0</v>
      </c>
      <c r="AW3">
        <v>0</v>
      </c>
    </row>
    <row r="4" spans="1:49" x14ac:dyDescent="0.25">
      <c r="A4" t="s">
        <v>6</v>
      </c>
      <c r="B4" s="2" t="s">
        <v>145</v>
      </c>
      <c r="E4">
        <v>1</v>
      </c>
      <c r="F4">
        <v>0</v>
      </c>
      <c r="H4">
        <v>0</v>
      </c>
      <c r="I4">
        <v>0</v>
      </c>
      <c r="J4">
        <v>11500</v>
      </c>
      <c r="K4">
        <v>11479</v>
      </c>
      <c r="L4">
        <v>912096</v>
      </c>
      <c r="M4">
        <v>0</v>
      </c>
      <c r="N4">
        <v>228.44999999999993</v>
      </c>
      <c r="O4">
        <v>205.29</v>
      </c>
      <c r="P4">
        <v>0</v>
      </c>
      <c r="Q4">
        <v>0</v>
      </c>
      <c r="R4">
        <v>500</v>
      </c>
      <c r="S4">
        <v>894.2</v>
      </c>
      <c r="T4">
        <v>110.25</v>
      </c>
      <c r="U4">
        <v>579.1</v>
      </c>
      <c r="V4">
        <v>0</v>
      </c>
      <c r="W4">
        <v>0</v>
      </c>
      <c r="X4">
        <v>0</v>
      </c>
      <c r="Y4">
        <v>0</v>
      </c>
      <c r="Z4">
        <v>807.55</v>
      </c>
      <c r="AA4">
        <v>53700</v>
      </c>
      <c r="AB4">
        <v>0.05</v>
      </c>
      <c r="AC4">
        <v>0</v>
      </c>
      <c r="AD4">
        <v>0</v>
      </c>
      <c r="AE4">
        <v>0</v>
      </c>
      <c r="AF4">
        <v>0</v>
      </c>
      <c r="AG4">
        <v>80</v>
      </c>
      <c r="AH4">
        <v>148</v>
      </c>
      <c r="AI4">
        <v>0.05</v>
      </c>
      <c r="AJ4">
        <v>70.5</v>
      </c>
      <c r="AK4">
        <v>0</v>
      </c>
      <c r="AL4">
        <v>0</v>
      </c>
      <c r="AM4">
        <v>41.37</v>
      </c>
      <c r="AN4">
        <v>-70.45</v>
      </c>
      <c r="AO4">
        <v>0</v>
      </c>
      <c r="AP4">
        <v>6763524</v>
      </c>
      <c r="AQ4">
        <v>24457</v>
      </c>
      <c r="AR4">
        <v>26451</v>
      </c>
      <c r="AS4">
        <v>0</v>
      </c>
      <c r="AT4">
        <v>0</v>
      </c>
      <c r="AV4">
        <v>0</v>
      </c>
      <c r="AW4">
        <v>0</v>
      </c>
    </row>
    <row r="5" spans="1:49" x14ac:dyDescent="0.25">
      <c r="A5" t="s">
        <v>7</v>
      </c>
      <c r="B5">
        <v>54507.5</v>
      </c>
      <c r="C5">
        <v>54502.2</v>
      </c>
      <c r="E5">
        <v>1</v>
      </c>
      <c r="F5">
        <v>0</v>
      </c>
      <c r="H5">
        <v>0</v>
      </c>
      <c r="I5">
        <v>0</v>
      </c>
      <c r="J5">
        <v>7494</v>
      </c>
      <c r="K5">
        <v>7279</v>
      </c>
      <c r="L5">
        <v>2369950</v>
      </c>
      <c r="M5">
        <v>0</v>
      </c>
      <c r="N5">
        <v>214.10000000000002</v>
      </c>
      <c r="O5">
        <v>154.16</v>
      </c>
      <c r="P5">
        <v>0</v>
      </c>
      <c r="Q5">
        <v>0</v>
      </c>
      <c r="R5">
        <v>516.1</v>
      </c>
      <c r="S5">
        <v>792.85</v>
      </c>
      <c r="T5">
        <v>68.650000000000006</v>
      </c>
      <c r="U5">
        <v>491.5</v>
      </c>
      <c r="V5">
        <v>0</v>
      </c>
      <c r="W5">
        <v>0</v>
      </c>
      <c r="X5">
        <v>0</v>
      </c>
      <c r="Y5">
        <v>0</v>
      </c>
      <c r="Z5">
        <v>705.6</v>
      </c>
      <c r="AA5">
        <v>53800</v>
      </c>
      <c r="AB5">
        <v>0.05</v>
      </c>
      <c r="AC5">
        <v>0</v>
      </c>
      <c r="AD5">
        <v>0</v>
      </c>
      <c r="AE5">
        <v>0</v>
      </c>
      <c r="AF5">
        <v>0</v>
      </c>
      <c r="AG5">
        <v>89.7</v>
      </c>
      <c r="AH5">
        <v>215.25</v>
      </c>
      <c r="AI5">
        <v>0.05</v>
      </c>
      <c r="AJ5">
        <v>89.7</v>
      </c>
      <c r="AK5">
        <v>0</v>
      </c>
      <c r="AL5">
        <v>0</v>
      </c>
      <c r="AM5">
        <v>50.73</v>
      </c>
      <c r="AN5">
        <v>-89.65</v>
      </c>
      <c r="AO5">
        <v>0</v>
      </c>
      <c r="AP5">
        <v>7888338</v>
      </c>
      <c r="AQ5">
        <v>30078</v>
      </c>
      <c r="AR5">
        <v>33329</v>
      </c>
      <c r="AS5">
        <v>0</v>
      </c>
      <c r="AT5">
        <v>0</v>
      </c>
      <c r="AV5">
        <v>0</v>
      </c>
      <c r="AW5">
        <v>0</v>
      </c>
    </row>
    <row r="6" spans="1:49" x14ac:dyDescent="0.25">
      <c r="A6" t="s">
        <v>8</v>
      </c>
      <c r="B6">
        <v>54041.74</v>
      </c>
      <c r="C6">
        <v>54185</v>
      </c>
      <c r="E6">
        <v>1</v>
      </c>
      <c r="F6">
        <v>0</v>
      </c>
      <c r="H6">
        <v>0</v>
      </c>
      <c r="I6">
        <v>0</v>
      </c>
      <c r="J6">
        <v>19525</v>
      </c>
      <c r="K6">
        <v>18856</v>
      </c>
      <c r="L6">
        <v>3475655</v>
      </c>
      <c r="M6">
        <v>0</v>
      </c>
      <c r="N6">
        <v>190.95</v>
      </c>
      <c r="O6">
        <v>116.96</v>
      </c>
      <c r="P6">
        <v>0</v>
      </c>
      <c r="Q6">
        <v>0</v>
      </c>
      <c r="R6">
        <v>427.95</v>
      </c>
      <c r="S6">
        <v>692.9</v>
      </c>
      <c r="T6">
        <v>37.35</v>
      </c>
      <c r="U6">
        <v>417.55</v>
      </c>
      <c r="V6">
        <v>0</v>
      </c>
      <c r="W6">
        <v>0</v>
      </c>
      <c r="X6">
        <v>0</v>
      </c>
      <c r="Y6">
        <v>0</v>
      </c>
      <c r="Z6">
        <v>608.5</v>
      </c>
      <c r="AA6">
        <v>53900</v>
      </c>
      <c r="AB6">
        <v>0.05</v>
      </c>
      <c r="AC6">
        <v>0</v>
      </c>
      <c r="AD6">
        <v>0</v>
      </c>
      <c r="AE6">
        <v>0</v>
      </c>
      <c r="AF6">
        <v>0</v>
      </c>
      <c r="AG6">
        <v>146.5</v>
      </c>
      <c r="AH6">
        <v>277</v>
      </c>
      <c r="AI6">
        <v>0.05</v>
      </c>
      <c r="AJ6">
        <v>112.05</v>
      </c>
      <c r="AK6">
        <v>0</v>
      </c>
      <c r="AL6">
        <v>0</v>
      </c>
      <c r="AM6">
        <v>59.15</v>
      </c>
      <c r="AN6">
        <v>-112</v>
      </c>
      <c r="AO6">
        <v>0</v>
      </c>
      <c r="AP6">
        <v>6690091</v>
      </c>
      <c r="AQ6">
        <v>26289</v>
      </c>
      <c r="AR6">
        <v>27876</v>
      </c>
      <c r="AS6">
        <v>0</v>
      </c>
      <c r="AT6">
        <v>0</v>
      </c>
      <c r="AV6">
        <v>0</v>
      </c>
      <c r="AW6">
        <v>0</v>
      </c>
    </row>
    <row r="7" spans="1:49" x14ac:dyDescent="0.25">
      <c r="A7" t="s">
        <v>9</v>
      </c>
      <c r="B7">
        <v>54589.48</v>
      </c>
      <c r="C7">
        <v>54565.55</v>
      </c>
      <c r="E7">
        <v>1</v>
      </c>
      <c r="F7">
        <v>0</v>
      </c>
      <c r="H7">
        <v>0</v>
      </c>
      <c r="I7">
        <v>0</v>
      </c>
      <c r="J7">
        <v>18226</v>
      </c>
      <c r="K7">
        <v>17137</v>
      </c>
      <c r="L7">
        <v>6129643</v>
      </c>
      <c r="M7">
        <v>0</v>
      </c>
      <c r="N7">
        <v>156.15000000000003</v>
      </c>
      <c r="O7">
        <v>88.74</v>
      </c>
      <c r="P7">
        <v>0</v>
      </c>
      <c r="Q7">
        <v>0</v>
      </c>
      <c r="R7">
        <v>300</v>
      </c>
      <c r="S7">
        <v>599.15</v>
      </c>
      <c r="T7">
        <v>22.35</v>
      </c>
      <c r="U7">
        <v>350.4</v>
      </c>
      <c r="V7">
        <v>0</v>
      </c>
      <c r="W7">
        <v>0</v>
      </c>
      <c r="X7">
        <v>0</v>
      </c>
      <c r="Y7">
        <v>0</v>
      </c>
      <c r="Z7">
        <v>506.55</v>
      </c>
      <c r="AA7">
        <v>54000</v>
      </c>
      <c r="AB7">
        <v>0.05</v>
      </c>
      <c r="AC7">
        <v>0</v>
      </c>
      <c r="AD7">
        <v>0</v>
      </c>
      <c r="AE7">
        <v>0</v>
      </c>
      <c r="AF7">
        <v>0</v>
      </c>
      <c r="AG7">
        <v>140.19999999999999</v>
      </c>
      <c r="AH7">
        <v>360</v>
      </c>
      <c r="AI7">
        <v>0.05</v>
      </c>
      <c r="AJ7">
        <v>140.19999999999999</v>
      </c>
      <c r="AK7">
        <v>0</v>
      </c>
      <c r="AL7">
        <v>0</v>
      </c>
      <c r="AM7">
        <v>65.599999999999994</v>
      </c>
      <c r="AN7">
        <v>-140.14999999999998</v>
      </c>
      <c r="AO7">
        <v>0</v>
      </c>
      <c r="AP7">
        <v>6182036</v>
      </c>
      <c r="AQ7">
        <v>30056</v>
      </c>
      <c r="AR7">
        <v>33324</v>
      </c>
      <c r="AS7">
        <v>0</v>
      </c>
      <c r="AT7">
        <v>0</v>
      </c>
      <c r="AV7">
        <v>0</v>
      </c>
      <c r="AW7">
        <v>0</v>
      </c>
    </row>
    <row r="8" spans="1:49" x14ac:dyDescent="0.25">
      <c r="A8" t="s">
        <v>10</v>
      </c>
      <c r="B8">
        <v>53636.65</v>
      </c>
      <c r="C8">
        <v>53699.95</v>
      </c>
      <c r="E8">
        <v>1</v>
      </c>
      <c r="F8">
        <v>0</v>
      </c>
      <c r="H8">
        <v>0</v>
      </c>
      <c r="I8">
        <v>0</v>
      </c>
      <c r="J8">
        <v>18617</v>
      </c>
      <c r="K8">
        <v>17800</v>
      </c>
      <c r="L8">
        <v>5253093</v>
      </c>
      <c r="M8">
        <v>0</v>
      </c>
      <c r="N8">
        <v>127.25</v>
      </c>
      <c r="O8">
        <v>69.47</v>
      </c>
      <c r="P8">
        <v>0</v>
      </c>
      <c r="Q8">
        <v>0</v>
      </c>
      <c r="R8">
        <v>240</v>
      </c>
      <c r="S8">
        <v>500.8</v>
      </c>
      <c r="T8">
        <v>13.65</v>
      </c>
      <c r="U8">
        <v>279.5</v>
      </c>
      <c r="V8">
        <v>0</v>
      </c>
      <c r="W8">
        <v>0</v>
      </c>
      <c r="X8">
        <v>0</v>
      </c>
      <c r="Y8">
        <v>0</v>
      </c>
      <c r="Z8">
        <v>406.75</v>
      </c>
      <c r="AA8">
        <v>54100</v>
      </c>
      <c r="AB8">
        <v>0.05</v>
      </c>
      <c r="AC8">
        <v>0</v>
      </c>
      <c r="AD8">
        <v>0</v>
      </c>
      <c r="AE8">
        <v>0</v>
      </c>
      <c r="AF8">
        <v>0</v>
      </c>
      <c r="AG8">
        <v>185</v>
      </c>
      <c r="AH8">
        <v>449.55</v>
      </c>
      <c r="AI8">
        <v>0.05</v>
      </c>
      <c r="AJ8">
        <v>176.2</v>
      </c>
      <c r="AK8">
        <v>0</v>
      </c>
      <c r="AL8">
        <v>0</v>
      </c>
      <c r="AM8">
        <v>56.48</v>
      </c>
      <c r="AN8">
        <v>-176.14999999999998</v>
      </c>
      <c r="AO8">
        <v>0</v>
      </c>
      <c r="AP8">
        <v>5160116</v>
      </c>
      <c r="AQ8">
        <v>30140</v>
      </c>
      <c r="AR8">
        <v>31432</v>
      </c>
      <c r="AS8">
        <v>0</v>
      </c>
      <c r="AT8">
        <v>0</v>
      </c>
      <c r="AV8">
        <v>0</v>
      </c>
      <c r="AW8">
        <v>0</v>
      </c>
    </row>
    <row r="9" spans="1:49" x14ac:dyDescent="0.25">
      <c r="A9" t="s">
        <v>11</v>
      </c>
      <c r="B9">
        <v>54153.35</v>
      </c>
      <c r="C9">
        <v>54200.65</v>
      </c>
      <c r="E9">
        <v>1</v>
      </c>
      <c r="F9">
        <v>0</v>
      </c>
      <c r="H9">
        <v>0</v>
      </c>
      <c r="I9">
        <v>0</v>
      </c>
      <c r="J9">
        <v>18481</v>
      </c>
      <c r="K9">
        <v>16101</v>
      </c>
      <c r="L9">
        <v>5972206</v>
      </c>
      <c r="M9">
        <v>0</v>
      </c>
      <c r="N9">
        <v>86.700000000000017</v>
      </c>
      <c r="O9">
        <v>53.81</v>
      </c>
      <c r="P9">
        <v>0</v>
      </c>
      <c r="Q9">
        <v>0</v>
      </c>
      <c r="R9">
        <v>189.9</v>
      </c>
      <c r="S9">
        <v>404.55</v>
      </c>
      <c r="T9">
        <v>8.9</v>
      </c>
      <c r="U9">
        <v>220.65</v>
      </c>
      <c r="V9">
        <v>0</v>
      </c>
      <c r="W9">
        <v>0</v>
      </c>
      <c r="X9">
        <v>0</v>
      </c>
      <c r="Y9">
        <v>0</v>
      </c>
      <c r="Z9">
        <v>307.35000000000002</v>
      </c>
      <c r="AA9">
        <v>54200</v>
      </c>
      <c r="AB9">
        <v>0.05</v>
      </c>
      <c r="AC9">
        <v>0</v>
      </c>
      <c r="AD9">
        <v>0</v>
      </c>
      <c r="AE9">
        <v>0</v>
      </c>
      <c r="AF9">
        <v>0</v>
      </c>
      <c r="AG9">
        <v>235</v>
      </c>
      <c r="AH9">
        <v>544.1</v>
      </c>
      <c r="AI9">
        <v>0.05</v>
      </c>
      <c r="AJ9">
        <v>215.15</v>
      </c>
      <c r="AK9">
        <v>0</v>
      </c>
      <c r="AL9">
        <v>0</v>
      </c>
      <c r="AM9">
        <v>43.9</v>
      </c>
      <c r="AN9">
        <v>-215.1</v>
      </c>
      <c r="AO9">
        <v>0</v>
      </c>
      <c r="AP9">
        <v>4770610</v>
      </c>
      <c r="AQ9">
        <v>46770</v>
      </c>
      <c r="AR9">
        <v>48584</v>
      </c>
      <c r="AS9">
        <v>0</v>
      </c>
      <c r="AT9">
        <v>0</v>
      </c>
      <c r="AV9">
        <v>0</v>
      </c>
      <c r="AW9">
        <v>0</v>
      </c>
    </row>
    <row r="10" spans="1:49" x14ac:dyDescent="0.25">
      <c r="A10" t="s">
        <v>12</v>
      </c>
      <c r="B10">
        <v>117</v>
      </c>
      <c r="E10">
        <v>1</v>
      </c>
      <c r="F10">
        <v>0</v>
      </c>
      <c r="H10">
        <v>0</v>
      </c>
      <c r="I10">
        <v>0</v>
      </c>
      <c r="J10">
        <v>11126</v>
      </c>
      <c r="K10">
        <v>9527</v>
      </c>
      <c r="L10">
        <v>5733662</v>
      </c>
      <c r="M10">
        <v>0</v>
      </c>
      <c r="N10">
        <v>35.900000000000006</v>
      </c>
      <c r="O10">
        <v>53.28</v>
      </c>
      <c r="P10">
        <v>0</v>
      </c>
      <c r="Q10">
        <v>0</v>
      </c>
      <c r="R10">
        <v>137.94999999999999</v>
      </c>
      <c r="S10">
        <v>311.35000000000002</v>
      </c>
      <c r="T10">
        <v>5.95</v>
      </c>
      <c r="U10">
        <v>170.9</v>
      </c>
      <c r="V10">
        <v>0</v>
      </c>
      <c r="W10">
        <v>0</v>
      </c>
      <c r="X10">
        <v>0</v>
      </c>
      <c r="Y10">
        <v>0</v>
      </c>
      <c r="Z10">
        <v>206.8</v>
      </c>
      <c r="AA10">
        <v>54300</v>
      </c>
      <c r="AB10">
        <v>0.05</v>
      </c>
      <c r="AC10">
        <v>0</v>
      </c>
      <c r="AD10">
        <v>0</v>
      </c>
      <c r="AE10">
        <v>0</v>
      </c>
      <c r="AF10">
        <v>0</v>
      </c>
      <c r="AG10">
        <v>338.25</v>
      </c>
      <c r="AH10">
        <v>636.9</v>
      </c>
      <c r="AI10">
        <v>0.05</v>
      </c>
      <c r="AJ10">
        <v>265.05</v>
      </c>
      <c r="AK10">
        <v>0</v>
      </c>
      <c r="AL10">
        <v>0</v>
      </c>
      <c r="AM10">
        <v>26.47</v>
      </c>
      <c r="AN10">
        <v>-265</v>
      </c>
      <c r="AO10">
        <v>0</v>
      </c>
      <c r="AP10">
        <v>5145887</v>
      </c>
      <c r="AQ10">
        <v>62936</v>
      </c>
      <c r="AR10">
        <v>63859</v>
      </c>
      <c r="AS10">
        <v>0</v>
      </c>
      <c r="AT10">
        <v>0</v>
      </c>
      <c r="AV10">
        <v>0</v>
      </c>
      <c r="AW10">
        <v>0</v>
      </c>
    </row>
    <row r="11" spans="1:49" x14ac:dyDescent="0.25">
      <c r="A11" t="s">
        <v>13</v>
      </c>
      <c r="B11">
        <v>54500</v>
      </c>
      <c r="E11">
        <v>1</v>
      </c>
      <c r="F11">
        <v>0</v>
      </c>
      <c r="H11">
        <v>0</v>
      </c>
      <c r="I11">
        <v>0</v>
      </c>
      <c r="J11">
        <v>45743</v>
      </c>
      <c r="K11">
        <v>43537</v>
      </c>
      <c r="L11">
        <v>8206272</v>
      </c>
      <c r="M11">
        <v>0</v>
      </c>
      <c r="N11">
        <v>-18.900000000000006</v>
      </c>
      <c r="O11">
        <v>53.96</v>
      </c>
      <c r="P11">
        <v>0</v>
      </c>
      <c r="Q11">
        <v>0</v>
      </c>
      <c r="R11">
        <v>97.9</v>
      </c>
      <c r="S11">
        <v>227.5</v>
      </c>
      <c r="T11">
        <v>3.85</v>
      </c>
      <c r="U11">
        <v>126</v>
      </c>
      <c r="V11">
        <v>0</v>
      </c>
      <c r="W11">
        <v>0</v>
      </c>
      <c r="X11">
        <v>0</v>
      </c>
      <c r="Y11">
        <v>0</v>
      </c>
      <c r="Z11">
        <v>107.1</v>
      </c>
      <c r="AA11">
        <v>54400</v>
      </c>
      <c r="AB11">
        <v>0.05</v>
      </c>
      <c r="AC11">
        <v>0</v>
      </c>
      <c r="AD11">
        <v>0</v>
      </c>
      <c r="AE11">
        <v>0</v>
      </c>
      <c r="AF11">
        <v>0</v>
      </c>
      <c r="AG11">
        <v>327</v>
      </c>
      <c r="AH11">
        <v>736.55</v>
      </c>
      <c r="AI11">
        <v>0.05</v>
      </c>
      <c r="AJ11">
        <v>326.35000000000002</v>
      </c>
      <c r="AK11">
        <v>0</v>
      </c>
      <c r="AL11">
        <v>0</v>
      </c>
      <c r="AM11">
        <v>21.71</v>
      </c>
      <c r="AN11">
        <v>-326.3</v>
      </c>
      <c r="AO11">
        <v>0</v>
      </c>
      <c r="AP11">
        <v>7878572</v>
      </c>
      <c r="AQ11">
        <v>90658</v>
      </c>
      <c r="AR11">
        <v>91071</v>
      </c>
      <c r="AS11">
        <v>0</v>
      </c>
      <c r="AT11">
        <v>0</v>
      </c>
      <c r="AV11">
        <v>0</v>
      </c>
      <c r="AW11">
        <v>0</v>
      </c>
    </row>
    <row r="12" spans="1:49" x14ac:dyDescent="0.25">
      <c r="A12" t="s">
        <v>14</v>
      </c>
      <c r="B12">
        <v>7.4</v>
      </c>
      <c r="C12">
        <v>0.1</v>
      </c>
      <c r="E12">
        <v>1</v>
      </c>
      <c r="F12">
        <v>0</v>
      </c>
      <c r="H12">
        <v>0</v>
      </c>
      <c r="I12">
        <v>0</v>
      </c>
      <c r="J12">
        <v>113682</v>
      </c>
      <c r="K12">
        <v>107099</v>
      </c>
      <c r="L12">
        <v>15517820</v>
      </c>
      <c r="M12">
        <v>0</v>
      </c>
      <c r="N12">
        <v>-85.1</v>
      </c>
      <c r="O12">
        <v>23.04</v>
      </c>
      <c r="P12">
        <v>0</v>
      </c>
      <c r="Q12">
        <v>0</v>
      </c>
      <c r="R12">
        <v>74.45</v>
      </c>
      <c r="S12">
        <v>149.9</v>
      </c>
      <c r="T12">
        <v>0.3</v>
      </c>
      <c r="U12">
        <v>92.5</v>
      </c>
      <c r="V12">
        <v>0</v>
      </c>
      <c r="W12">
        <v>0</v>
      </c>
      <c r="X12">
        <v>0</v>
      </c>
      <c r="Y12">
        <v>0</v>
      </c>
      <c r="Z12">
        <v>7.4</v>
      </c>
      <c r="AA12">
        <v>54500</v>
      </c>
      <c r="AB12">
        <v>0.1</v>
      </c>
      <c r="AC12">
        <v>0</v>
      </c>
      <c r="AD12">
        <v>0</v>
      </c>
      <c r="AE12">
        <v>0</v>
      </c>
      <c r="AF12">
        <v>0</v>
      </c>
      <c r="AG12">
        <v>460</v>
      </c>
      <c r="AH12">
        <v>834.95</v>
      </c>
      <c r="AI12">
        <v>0.05</v>
      </c>
      <c r="AJ12">
        <v>387.3</v>
      </c>
      <c r="AK12">
        <v>0</v>
      </c>
      <c r="AL12">
        <v>0</v>
      </c>
      <c r="AM12">
        <v>52.05</v>
      </c>
      <c r="AN12">
        <v>-387.2</v>
      </c>
      <c r="AO12">
        <v>0</v>
      </c>
      <c r="AP12">
        <v>5241656</v>
      </c>
      <c r="AQ12">
        <v>63983</v>
      </c>
      <c r="AR12">
        <v>65915</v>
      </c>
      <c r="AS12">
        <v>0</v>
      </c>
      <c r="AT12">
        <v>0</v>
      </c>
      <c r="AV12">
        <v>0</v>
      </c>
      <c r="AW12">
        <v>0</v>
      </c>
    </row>
    <row r="13" spans="1:49" x14ac:dyDescent="0.25">
      <c r="A13" t="s">
        <v>15</v>
      </c>
      <c r="B13">
        <v>54500</v>
      </c>
      <c r="E13">
        <v>0</v>
      </c>
      <c r="F13">
        <v>0</v>
      </c>
      <c r="H13">
        <v>0</v>
      </c>
      <c r="I13">
        <v>0</v>
      </c>
      <c r="J13">
        <v>74763</v>
      </c>
      <c r="K13">
        <v>69607</v>
      </c>
      <c r="L13">
        <v>10198846</v>
      </c>
      <c r="M13">
        <v>0</v>
      </c>
      <c r="N13">
        <v>-63.400000000000006</v>
      </c>
      <c r="O13">
        <v>14.36</v>
      </c>
      <c r="P13">
        <v>0</v>
      </c>
      <c r="Q13">
        <v>0</v>
      </c>
      <c r="R13">
        <v>70.05</v>
      </c>
      <c r="S13">
        <v>100</v>
      </c>
      <c r="T13">
        <v>0.05</v>
      </c>
      <c r="U13">
        <v>63.45</v>
      </c>
      <c r="V13">
        <v>0</v>
      </c>
      <c r="W13">
        <v>0</v>
      </c>
      <c r="X13">
        <v>0</v>
      </c>
      <c r="Y13">
        <v>0</v>
      </c>
      <c r="Z13">
        <v>0.05</v>
      </c>
      <c r="AA13">
        <v>54600</v>
      </c>
      <c r="AB13">
        <v>92.15</v>
      </c>
      <c r="AC13">
        <v>0</v>
      </c>
      <c r="AD13">
        <v>0</v>
      </c>
      <c r="AE13">
        <v>0</v>
      </c>
      <c r="AF13">
        <v>0</v>
      </c>
      <c r="AG13">
        <v>456</v>
      </c>
      <c r="AH13">
        <v>924.3</v>
      </c>
      <c r="AI13">
        <v>69.7</v>
      </c>
      <c r="AJ13">
        <v>456</v>
      </c>
      <c r="AK13">
        <v>0</v>
      </c>
      <c r="AL13">
        <v>0</v>
      </c>
      <c r="AM13">
        <v>139.76</v>
      </c>
      <c r="AN13">
        <v>-363.85</v>
      </c>
      <c r="AO13">
        <v>0</v>
      </c>
      <c r="AP13">
        <v>849941</v>
      </c>
      <c r="AQ13">
        <v>15830</v>
      </c>
      <c r="AR13">
        <v>16150</v>
      </c>
      <c r="AS13">
        <v>0</v>
      </c>
      <c r="AT13">
        <v>0</v>
      </c>
      <c r="AV13">
        <v>0</v>
      </c>
      <c r="AW13">
        <v>-1</v>
      </c>
    </row>
    <row r="14" spans="1:49" x14ac:dyDescent="0.25">
      <c r="A14" t="s">
        <v>16</v>
      </c>
      <c r="B14">
        <v>7.4</v>
      </c>
      <c r="C14">
        <v>0.1</v>
      </c>
      <c r="E14">
        <v>0</v>
      </c>
      <c r="F14">
        <v>0</v>
      </c>
      <c r="H14">
        <v>0</v>
      </c>
      <c r="I14">
        <v>0</v>
      </c>
      <c r="J14">
        <v>48866</v>
      </c>
      <c r="K14">
        <v>40436</v>
      </c>
      <c r="L14">
        <v>6587967</v>
      </c>
      <c r="M14">
        <v>0</v>
      </c>
      <c r="N14">
        <v>-43.550000000000004</v>
      </c>
      <c r="O14">
        <v>10.65</v>
      </c>
      <c r="P14">
        <v>0</v>
      </c>
      <c r="Q14">
        <v>0</v>
      </c>
      <c r="R14">
        <v>50</v>
      </c>
      <c r="S14">
        <v>71.3</v>
      </c>
      <c r="T14">
        <v>0.05</v>
      </c>
      <c r="U14">
        <v>43.6</v>
      </c>
      <c r="V14">
        <v>0</v>
      </c>
      <c r="W14">
        <v>0</v>
      </c>
      <c r="X14">
        <v>0</v>
      </c>
      <c r="Y14">
        <v>0</v>
      </c>
      <c r="Z14">
        <v>0.05</v>
      </c>
      <c r="AA14">
        <v>54700</v>
      </c>
      <c r="AB14">
        <v>192.85</v>
      </c>
      <c r="AC14">
        <v>0</v>
      </c>
      <c r="AD14">
        <v>0</v>
      </c>
      <c r="AE14">
        <v>0</v>
      </c>
      <c r="AF14">
        <v>0</v>
      </c>
      <c r="AG14">
        <v>584.95000000000005</v>
      </c>
      <c r="AH14">
        <v>1026.45</v>
      </c>
      <c r="AI14">
        <v>157</v>
      </c>
      <c r="AJ14">
        <v>548.25</v>
      </c>
      <c r="AK14">
        <v>0</v>
      </c>
      <c r="AL14">
        <v>0</v>
      </c>
      <c r="AM14">
        <v>242.59</v>
      </c>
      <c r="AN14">
        <v>-355.4</v>
      </c>
      <c r="AO14">
        <v>0</v>
      </c>
      <c r="AP14">
        <v>161122</v>
      </c>
      <c r="AQ14">
        <v>8586</v>
      </c>
      <c r="AR14">
        <v>9094</v>
      </c>
      <c r="AS14">
        <v>0</v>
      </c>
      <c r="AT14">
        <v>0</v>
      </c>
      <c r="AV14">
        <v>0</v>
      </c>
      <c r="AW14">
        <v>-1</v>
      </c>
    </row>
    <row r="15" spans="1:49" x14ac:dyDescent="0.25">
      <c r="A15" t="s">
        <v>17</v>
      </c>
      <c r="B15">
        <v>842174</v>
      </c>
      <c r="C15">
        <v>835909</v>
      </c>
      <c r="E15">
        <v>0</v>
      </c>
      <c r="F15">
        <v>0</v>
      </c>
      <c r="H15">
        <v>0</v>
      </c>
      <c r="I15">
        <v>0</v>
      </c>
      <c r="J15">
        <v>30730</v>
      </c>
      <c r="K15">
        <v>0</v>
      </c>
      <c r="L15">
        <v>5905428</v>
      </c>
      <c r="M15">
        <v>0</v>
      </c>
      <c r="N15">
        <v>-31.3</v>
      </c>
      <c r="O15">
        <v>8.51</v>
      </c>
      <c r="P15">
        <v>0</v>
      </c>
      <c r="Q15">
        <v>0</v>
      </c>
      <c r="R15">
        <v>31.35</v>
      </c>
      <c r="S15">
        <v>53.8</v>
      </c>
      <c r="T15">
        <v>0.05</v>
      </c>
      <c r="U15">
        <v>31.35</v>
      </c>
      <c r="V15">
        <v>0</v>
      </c>
      <c r="W15">
        <v>0</v>
      </c>
      <c r="X15">
        <v>0</v>
      </c>
      <c r="Y15">
        <v>0</v>
      </c>
      <c r="Z15">
        <v>0.05</v>
      </c>
      <c r="AA15">
        <v>54800</v>
      </c>
      <c r="AB15">
        <v>292.7</v>
      </c>
      <c r="AC15">
        <v>0</v>
      </c>
      <c r="AD15">
        <v>0</v>
      </c>
      <c r="AE15">
        <v>0</v>
      </c>
      <c r="AF15">
        <v>0</v>
      </c>
      <c r="AG15">
        <v>743.15</v>
      </c>
      <c r="AH15">
        <v>1127.8</v>
      </c>
      <c r="AI15">
        <v>248.45</v>
      </c>
      <c r="AJ15">
        <v>627.9</v>
      </c>
      <c r="AK15">
        <v>0</v>
      </c>
      <c r="AL15">
        <v>0</v>
      </c>
      <c r="AM15">
        <v>367.02</v>
      </c>
      <c r="AN15">
        <v>-335.2</v>
      </c>
      <c r="AO15">
        <v>0</v>
      </c>
      <c r="AP15">
        <v>41680</v>
      </c>
      <c r="AQ15">
        <v>0</v>
      </c>
      <c r="AR15">
        <v>2231</v>
      </c>
      <c r="AS15">
        <v>0</v>
      </c>
      <c r="AT15">
        <v>0</v>
      </c>
      <c r="AV15">
        <v>0</v>
      </c>
      <c r="AW15">
        <v>-1</v>
      </c>
    </row>
    <row r="16" spans="1:49" x14ac:dyDescent="0.25">
      <c r="A16" t="s">
        <v>18</v>
      </c>
      <c r="E16">
        <v>0</v>
      </c>
      <c r="F16">
        <v>0</v>
      </c>
      <c r="H16">
        <v>0</v>
      </c>
      <c r="I16">
        <v>0</v>
      </c>
      <c r="J16">
        <v>23285</v>
      </c>
      <c r="K16">
        <v>0</v>
      </c>
      <c r="L16">
        <v>3578513</v>
      </c>
      <c r="M16">
        <v>0</v>
      </c>
      <c r="N16">
        <v>-21.9</v>
      </c>
      <c r="O16">
        <v>6.56</v>
      </c>
      <c r="P16">
        <v>0</v>
      </c>
      <c r="Q16">
        <v>0</v>
      </c>
      <c r="R16">
        <v>21.95</v>
      </c>
      <c r="S16">
        <v>41.1</v>
      </c>
      <c r="T16">
        <v>0.05</v>
      </c>
      <c r="U16">
        <v>21.95</v>
      </c>
      <c r="V16">
        <v>0</v>
      </c>
      <c r="W16">
        <v>0</v>
      </c>
      <c r="X16">
        <v>0</v>
      </c>
      <c r="Y16">
        <v>0</v>
      </c>
      <c r="Z16">
        <v>0.05</v>
      </c>
      <c r="AA16">
        <v>54900</v>
      </c>
      <c r="AB16">
        <v>391.7</v>
      </c>
      <c r="AC16">
        <v>0</v>
      </c>
      <c r="AD16">
        <v>0</v>
      </c>
      <c r="AE16">
        <v>0</v>
      </c>
      <c r="AF16">
        <v>0</v>
      </c>
      <c r="AG16">
        <v>826.4</v>
      </c>
      <c r="AH16">
        <v>1224.9000000000001</v>
      </c>
      <c r="AI16">
        <v>333.95</v>
      </c>
      <c r="AJ16">
        <v>715.05</v>
      </c>
      <c r="AK16">
        <v>0</v>
      </c>
      <c r="AL16">
        <v>0</v>
      </c>
      <c r="AM16">
        <v>450.88</v>
      </c>
      <c r="AN16">
        <v>-323.34999999999997</v>
      </c>
      <c r="AO16">
        <v>0</v>
      </c>
      <c r="AP16">
        <v>12909</v>
      </c>
      <c r="AQ16">
        <v>0</v>
      </c>
      <c r="AR16">
        <v>904</v>
      </c>
      <c r="AS16">
        <v>0</v>
      </c>
      <c r="AT16">
        <v>0</v>
      </c>
      <c r="AV16">
        <v>0</v>
      </c>
      <c r="AW16">
        <v>-1</v>
      </c>
    </row>
    <row r="17" spans="1:49" x14ac:dyDescent="0.25">
      <c r="A17" t="s">
        <v>19</v>
      </c>
      <c r="B17">
        <v>113682</v>
      </c>
      <c r="C17">
        <v>91071</v>
      </c>
      <c r="E17">
        <v>0</v>
      </c>
      <c r="F17">
        <v>0</v>
      </c>
      <c r="H17">
        <v>0</v>
      </c>
      <c r="I17">
        <v>0</v>
      </c>
      <c r="J17">
        <v>46408</v>
      </c>
      <c r="K17">
        <v>0</v>
      </c>
      <c r="L17">
        <v>4225680</v>
      </c>
      <c r="M17">
        <v>0</v>
      </c>
      <c r="N17">
        <v>-15.2</v>
      </c>
      <c r="O17">
        <v>5.04</v>
      </c>
      <c r="P17">
        <v>0</v>
      </c>
      <c r="Q17">
        <v>0</v>
      </c>
      <c r="R17">
        <v>9.8000000000000007</v>
      </c>
      <c r="S17">
        <v>30.7</v>
      </c>
      <c r="T17">
        <v>0.05</v>
      </c>
      <c r="U17">
        <v>15.25</v>
      </c>
      <c r="V17">
        <v>0</v>
      </c>
      <c r="W17">
        <v>0</v>
      </c>
      <c r="X17">
        <v>0</v>
      </c>
      <c r="Y17">
        <v>0</v>
      </c>
      <c r="Z17">
        <v>0.05</v>
      </c>
      <c r="AA17">
        <v>55000</v>
      </c>
      <c r="AB17">
        <v>491.35</v>
      </c>
      <c r="AC17">
        <v>0</v>
      </c>
      <c r="AD17">
        <v>0</v>
      </c>
      <c r="AE17">
        <v>0</v>
      </c>
      <c r="AF17">
        <v>0</v>
      </c>
      <c r="AG17">
        <v>910.15</v>
      </c>
      <c r="AH17">
        <v>1321</v>
      </c>
      <c r="AI17">
        <v>423</v>
      </c>
      <c r="AJ17">
        <v>808.5</v>
      </c>
      <c r="AK17">
        <v>0</v>
      </c>
      <c r="AL17">
        <v>0</v>
      </c>
      <c r="AM17">
        <v>587.98</v>
      </c>
      <c r="AN17">
        <v>-317.14999999999998</v>
      </c>
      <c r="AO17">
        <v>0</v>
      </c>
      <c r="AP17">
        <v>12956</v>
      </c>
      <c r="AQ17">
        <v>0</v>
      </c>
      <c r="AR17">
        <v>937</v>
      </c>
      <c r="AS17">
        <v>0</v>
      </c>
      <c r="AT17">
        <v>0</v>
      </c>
      <c r="AV17">
        <v>0</v>
      </c>
      <c r="AW17">
        <v>-1</v>
      </c>
    </row>
    <row r="18" spans="1:49" x14ac:dyDescent="0.25">
      <c r="A18" t="s">
        <v>20</v>
      </c>
      <c r="B18">
        <v>54500</v>
      </c>
      <c r="C18">
        <v>54400</v>
      </c>
      <c r="E18">
        <v>0</v>
      </c>
      <c r="F18">
        <v>0</v>
      </c>
      <c r="H18">
        <v>0</v>
      </c>
      <c r="I18">
        <v>0</v>
      </c>
      <c r="J18">
        <v>28238</v>
      </c>
      <c r="K18">
        <v>0</v>
      </c>
      <c r="L18">
        <v>2194594</v>
      </c>
      <c r="M18">
        <v>0</v>
      </c>
      <c r="N18">
        <v>-10.799999999999999</v>
      </c>
      <c r="O18">
        <v>4.03</v>
      </c>
      <c r="P18">
        <v>0</v>
      </c>
      <c r="Q18">
        <v>0</v>
      </c>
      <c r="R18">
        <v>8.4</v>
      </c>
      <c r="S18">
        <v>30</v>
      </c>
      <c r="T18">
        <v>0.05</v>
      </c>
      <c r="U18">
        <v>10.85</v>
      </c>
      <c r="V18">
        <v>0</v>
      </c>
      <c r="W18">
        <v>0</v>
      </c>
      <c r="X18">
        <v>0</v>
      </c>
      <c r="Y18">
        <v>0</v>
      </c>
      <c r="Z18">
        <v>0.05</v>
      </c>
      <c r="AA18">
        <v>55100</v>
      </c>
      <c r="AB18">
        <v>593.04999999999995</v>
      </c>
      <c r="AC18">
        <v>0</v>
      </c>
      <c r="AD18">
        <v>0</v>
      </c>
      <c r="AE18">
        <v>0</v>
      </c>
      <c r="AF18">
        <v>0</v>
      </c>
      <c r="AG18">
        <v>1077.5</v>
      </c>
      <c r="AH18">
        <v>1424.4</v>
      </c>
      <c r="AI18">
        <v>521.1</v>
      </c>
      <c r="AJ18">
        <v>902.7</v>
      </c>
      <c r="AK18">
        <v>0</v>
      </c>
      <c r="AL18">
        <v>0</v>
      </c>
      <c r="AM18">
        <v>661.97</v>
      </c>
      <c r="AN18">
        <v>-309.65000000000009</v>
      </c>
      <c r="AO18">
        <v>0</v>
      </c>
      <c r="AP18">
        <v>1067</v>
      </c>
      <c r="AQ18">
        <v>0</v>
      </c>
      <c r="AR18">
        <v>395</v>
      </c>
      <c r="AS18">
        <v>0</v>
      </c>
      <c r="AT18">
        <v>0</v>
      </c>
      <c r="AV18">
        <v>0</v>
      </c>
      <c r="AW18">
        <v>-1</v>
      </c>
    </row>
    <row r="19" spans="1:49" x14ac:dyDescent="0.25">
      <c r="A19" t="s">
        <v>21</v>
      </c>
      <c r="B19">
        <v>7.4</v>
      </c>
      <c r="C19">
        <v>0.05</v>
      </c>
      <c r="E19">
        <v>0</v>
      </c>
      <c r="F19">
        <v>0</v>
      </c>
      <c r="H19">
        <v>0</v>
      </c>
      <c r="I19">
        <v>0</v>
      </c>
      <c r="J19">
        <v>28283</v>
      </c>
      <c r="K19">
        <v>0</v>
      </c>
      <c r="L19">
        <v>1567084</v>
      </c>
      <c r="M19">
        <v>0</v>
      </c>
      <c r="N19">
        <v>-8.1</v>
      </c>
      <c r="O19">
        <v>2.96</v>
      </c>
      <c r="P19">
        <v>0</v>
      </c>
      <c r="Q19">
        <v>0</v>
      </c>
      <c r="R19">
        <v>5.05</v>
      </c>
      <c r="S19">
        <v>19</v>
      </c>
      <c r="T19">
        <v>0.05</v>
      </c>
      <c r="U19">
        <v>8.15</v>
      </c>
      <c r="V19">
        <v>0</v>
      </c>
      <c r="W19">
        <v>0</v>
      </c>
      <c r="X19">
        <v>0</v>
      </c>
      <c r="Y19">
        <v>0</v>
      </c>
      <c r="Z19">
        <v>0.05</v>
      </c>
      <c r="AA19">
        <v>55200</v>
      </c>
      <c r="AB19">
        <v>695</v>
      </c>
      <c r="AC19">
        <v>0</v>
      </c>
      <c r="AD19">
        <v>0</v>
      </c>
      <c r="AE19">
        <v>0</v>
      </c>
      <c r="AF19">
        <v>0</v>
      </c>
      <c r="AG19">
        <v>1168.5</v>
      </c>
      <c r="AH19">
        <v>1353.25</v>
      </c>
      <c r="AI19">
        <v>620.9</v>
      </c>
      <c r="AJ19">
        <v>1003.05</v>
      </c>
      <c r="AK19">
        <v>0</v>
      </c>
      <c r="AL19">
        <v>0</v>
      </c>
      <c r="AM19">
        <v>713.63</v>
      </c>
      <c r="AN19">
        <v>-308.04999999999995</v>
      </c>
      <c r="AO19">
        <v>0</v>
      </c>
      <c r="AP19">
        <v>577</v>
      </c>
      <c r="AQ19">
        <v>0</v>
      </c>
      <c r="AR19">
        <v>208</v>
      </c>
      <c r="AS19">
        <v>0</v>
      </c>
      <c r="AT19">
        <v>0</v>
      </c>
      <c r="AV19">
        <v>0</v>
      </c>
      <c r="AW19">
        <v>-1</v>
      </c>
    </row>
    <row r="20" spans="1:49" x14ac:dyDescent="0.25">
      <c r="A20" t="s">
        <v>22</v>
      </c>
      <c r="E20">
        <v>0</v>
      </c>
      <c r="F20">
        <v>0</v>
      </c>
      <c r="H20">
        <v>0</v>
      </c>
      <c r="I20">
        <v>0</v>
      </c>
      <c r="J20">
        <v>23071</v>
      </c>
      <c r="K20">
        <v>0</v>
      </c>
      <c r="L20">
        <v>1085047</v>
      </c>
      <c r="M20">
        <v>0</v>
      </c>
      <c r="N20">
        <v>-6.4</v>
      </c>
      <c r="O20">
        <v>2.21</v>
      </c>
      <c r="P20">
        <v>0</v>
      </c>
      <c r="Q20">
        <v>0</v>
      </c>
      <c r="R20">
        <v>4.55</v>
      </c>
      <c r="S20">
        <v>12.5</v>
      </c>
      <c r="T20">
        <v>0.05</v>
      </c>
      <c r="U20">
        <v>6.45</v>
      </c>
      <c r="V20">
        <v>0</v>
      </c>
      <c r="W20">
        <v>0</v>
      </c>
      <c r="X20">
        <v>0</v>
      </c>
      <c r="Y20">
        <v>0</v>
      </c>
      <c r="Z20">
        <v>0.05</v>
      </c>
      <c r="AA20">
        <v>55300</v>
      </c>
      <c r="AB20">
        <v>805.25</v>
      </c>
      <c r="AC20">
        <v>0</v>
      </c>
      <c r="AD20">
        <v>0</v>
      </c>
      <c r="AE20">
        <v>0</v>
      </c>
      <c r="AF20">
        <v>0</v>
      </c>
      <c r="AG20">
        <v>1224.0999999999999</v>
      </c>
      <c r="AH20">
        <v>1587.9</v>
      </c>
      <c r="AI20">
        <v>719.55</v>
      </c>
      <c r="AJ20">
        <v>1140.5999999999999</v>
      </c>
      <c r="AK20">
        <v>0</v>
      </c>
      <c r="AL20">
        <v>0</v>
      </c>
      <c r="AM20">
        <v>854.89</v>
      </c>
      <c r="AN20">
        <v>-335.34999999999991</v>
      </c>
      <c r="AO20">
        <v>0</v>
      </c>
      <c r="AP20">
        <v>179</v>
      </c>
      <c r="AQ20">
        <v>0</v>
      </c>
      <c r="AR20">
        <v>105</v>
      </c>
      <c r="AS20">
        <v>0</v>
      </c>
      <c r="AT20">
        <v>0</v>
      </c>
      <c r="AV20">
        <v>0</v>
      </c>
      <c r="AW20">
        <v>-1</v>
      </c>
    </row>
    <row r="21" spans="1:49" x14ac:dyDescent="0.25">
      <c r="A21" t="s">
        <v>23</v>
      </c>
      <c r="E21">
        <v>0</v>
      </c>
      <c r="F21">
        <v>0</v>
      </c>
      <c r="H21">
        <v>0</v>
      </c>
      <c r="I21">
        <v>0</v>
      </c>
      <c r="J21">
        <v>32080</v>
      </c>
      <c r="K21">
        <v>0</v>
      </c>
      <c r="L21">
        <v>918351</v>
      </c>
      <c r="M21">
        <v>0</v>
      </c>
      <c r="N21">
        <v>-5.5</v>
      </c>
      <c r="O21">
        <v>1.61</v>
      </c>
      <c r="P21">
        <v>0</v>
      </c>
      <c r="Q21">
        <v>0</v>
      </c>
      <c r="R21">
        <v>4</v>
      </c>
      <c r="S21">
        <v>8.4499999999999993</v>
      </c>
      <c r="T21">
        <v>0.05</v>
      </c>
      <c r="U21">
        <v>5.55</v>
      </c>
      <c r="V21">
        <v>0</v>
      </c>
      <c r="W21">
        <v>0</v>
      </c>
      <c r="X21">
        <v>0</v>
      </c>
      <c r="Y21">
        <v>0</v>
      </c>
      <c r="Z21">
        <v>0.05</v>
      </c>
      <c r="AA21">
        <v>55400</v>
      </c>
      <c r="AB21">
        <v>889.45</v>
      </c>
      <c r="AC21">
        <v>0</v>
      </c>
      <c r="AD21">
        <v>0</v>
      </c>
      <c r="AE21">
        <v>0</v>
      </c>
      <c r="AF21">
        <v>0</v>
      </c>
      <c r="AG21">
        <v>1414.8</v>
      </c>
      <c r="AH21">
        <v>1616.65</v>
      </c>
      <c r="AI21">
        <v>832.45</v>
      </c>
      <c r="AJ21">
        <v>1166.8</v>
      </c>
      <c r="AK21">
        <v>0</v>
      </c>
      <c r="AL21">
        <v>0</v>
      </c>
      <c r="AM21">
        <v>1067.49</v>
      </c>
      <c r="AN21">
        <v>-277.34999999999991</v>
      </c>
      <c r="AO21">
        <v>0</v>
      </c>
      <c r="AP21">
        <v>45</v>
      </c>
      <c r="AQ21">
        <v>0</v>
      </c>
      <c r="AR21">
        <v>83</v>
      </c>
      <c r="AS21">
        <v>0</v>
      </c>
      <c r="AT21">
        <v>0</v>
      </c>
      <c r="AV21">
        <v>0</v>
      </c>
      <c r="AW21">
        <v>-1</v>
      </c>
    </row>
    <row r="22" spans="1:49" x14ac:dyDescent="0.25">
      <c r="A22" t="s">
        <v>24</v>
      </c>
      <c r="E22">
        <v>0</v>
      </c>
      <c r="F22">
        <v>0</v>
      </c>
      <c r="H22">
        <v>0</v>
      </c>
      <c r="I22">
        <v>0</v>
      </c>
      <c r="J22">
        <v>54662</v>
      </c>
      <c r="K22">
        <v>0</v>
      </c>
      <c r="L22">
        <v>1393889</v>
      </c>
      <c r="M22">
        <v>0</v>
      </c>
      <c r="N22">
        <v>-4.6500000000000004</v>
      </c>
      <c r="O22">
        <v>1.07</v>
      </c>
      <c r="P22">
        <v>0</v>
      </c>
      <c r="Q22">
        <v>0</v>
      </c>
      <c r="R22">
        <v>3.1</v>
      </c>
      <c r="S22">
        <v>6.15</v>
      </c>
      <c r="T22">
        <v>0.05</v>
      </c>
      <c r="U22">
        <v>4.7</v>
      </c>
      <c r="V22">
        <v>0</v>
      </c>
      <c r="W22">
        <v>0</v>
      </c>
      <c r="X22">
        <v>0</v>
      </c>
      <c r="Y22">
        <v>0</v>
      </c>
      <c r="Z22">
        <v>0.05</v>
      </c>
      <c r="AA22">
        <v>55500</v>
      </c>
      <c r="AB22">
        <v>1013.45</v>
      </c>
      <c r="AC22">
        <v>0</v>
      </c>
      <c r="AD22">
        <v>0</v>
      </c>
      <c r="AE22">
        <v>0</v>
      </c>
      <c r="AF22">
        <v>0</v>
      </c>
      <c r="AG22">
        <v>1750</v>
      </c>
      <c r="AH22">
        <v>1818</v>
      </c>
      <c r="AI22">
        <v>913.3</v>
      </c>
      <c r="AJ22">
        <v>1288.8499999999999</v>
      </c>
      <c r="AK22">
        <v>0</v>
      </c>
      <c r="AL22">
        <v>0</v>
      </c>
      <c r="AM22">
        <v>1207.32</v>
      </c>
      <c r="AN22">
        <v>-275.39999999999986</v>
      </c>
      <c r="AO22">
        <v>0</v>
      </c>
      <c r="AP22">
        <v>386</v>
      </c>
      <c r="AQ22">
        <v>0</v>
      </c>
      <c r="AR22">
        <v>353</v>
      </c>
      <c r="AS22">
        <v>0</v>
      </c>
      <c r="AT22">
        <v>0</v>
      </c>
      <c r="AV22">
        <v>0</v>
      </c>
      <c r="AW22">
        <v>-1</v>
      </c>
    </row>
    <row r="23" spans="1:49" x14ac:dyDescent="0.25">
      <c r="A23" t="s">
        <v>25</v>
      </c>
    </row>
    <row r="24" spans="1:49" x14ac:dyDescent="0.25">
      <c r="A24" t="s">
        <v>26</v>
      </c>
    </row>
    <row r="25" spans="1:49" x14ac:dyDescent="0.25">
      <c r="A25" t="s">
        <v>27</v>
      </c>
    </row>
    <row r="26" spans="1:49" x14ac:dyDescent="0.25">
      <c r="A26" t="s">
        <v>28</v>
      </c>
      <c r="B26">
        <v>94122883</v>
      </c>
      <c r="C26">
        <v>91265558</v>
      </c>
    </row>
    <row r="27" spans="1:49" x14ac:dyDescent="0.25">
      <c r="A27" t="s">
        <v>29</v>
      </c>
      <c r="B27">
        <v>54500</v>
      </c>
      <c r="C27">
        <v>53800</v>
      </c>
    </row>
    <row r="28" spans="1:49" x14ac:dyDescent="0.25">
      <c r="A28" t="s">
        <v>30</v>
      </c>
      <c r="B28">
        <v>7.4</v>
      </c>
      <c r="C28">
        <v>0.05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D0899-648D-42B3-834C-3F24D6E0E2BE}">
  <dimension ref="A1:AW28"/>
  <sheetViews>
    <sheetView workbookViewId="0"/>
  </sheetViews>
  <sheetFormatPr defaultRowHeight="15" x14ac:dyDescent="0.25"/>
  <sheetData>
    <row r="1" spans="1:49" x14ac:dyDescent="0.25">
      <c r="A1" t="s">
        <v>0</v>
      </c>
      <c r="B1" t="s">
        <v>1</v>
      </c>
      <c r="C1" t="s">
        <v>2</v>
      </c>
      <c r="E1" t="s">
        <v>31</v>
      </c>
      <c r="F1" t="s">
        <v>32</v>
      </c>
      <c r="G1" t="s">
        <v>33</v>
      </c>
      <c r="H1" t="s">
        <v>34</v>
      </c>
      <c r="I1" t="s">
        <v>35</v>
      </c>
      <c r="J1" t="s">
        <v>36</v>
      </c>
      <c r="K1" t="s">
        <v>37</v>
      </c>
      <c r="L1" t="s">
        <v>38</v>
      </c>
      <c r="M1" t="s">
        <v>39</v>
      </c>
      <c r="N1" t="s">
        <v>40</v>
      </c>
      <c r="O1" t="s">
        <v>41</v>
      </c>
      <c r="P1" t="s">
        <v>42</v>
      </c>
      <c r="Q1" t="s">
        <v>43</v>
      </c>
      <c r="R1" t="s">
        <v>44</v>
      </c>
      <c r="S1" t="s">
        <v>45</v>
      </c>
      <c r="T1" t="s">
        <v>46</v>
      </c>
      <c r="U1" t="s">
        <v>47</v>
      </c>
      <c r="V1" t="s">
        <v>48</v>
      </c>
      <c r="W1" t="s">
        <v>49</v>
      </c>
      <c r="X1" t="s">
        <v>50</v>
      </c>
      <c r="Y1" t="s">
        <v>51</v>
      </c>
      <c r="Z1" t="s">
        <v>52</v>
      </c>
      <c r="AA1" t="s">
        <v>53</v>
      </c>
      <c r="AB1" t="s">
        <v>54</v>
      </c>
      <c r="AC1" t="s">
        <v>55</v>
      </c>
      <c r="AD1" t="s">
        <v>56</v>
      </c>
      <c r="AE1" t="s">
        <v>57</v>
      </c>
      <c r="AF1" t="s">
        <v>58</v>
      </c>
      <c r="AG1" t="s">
        <v>59</v>
      </c>
      <c r="AH1" t="s">
        <v>60</v>
      </c>
      <c r="AI1" t="s">
        <v>61</v>
      </c>
      <c r="AJ1" t="s">
        <v>62</v>
      </c>
      <c r="AK1" t="s">
        <v>63</v>
      </c>
      <c r="AL1" t="s">
        <v>64</v>
      </c>
      <c r="AM1" t="s">
        <v>65</v>
      </c>
      <c r="AN1" t="s">
        <v>66</v>
      </c>
      <c r="AO1" t="s">
        <v>67</v>
      </c>
      <c r="AP1" t="s">
        <v>68</v>
      </c>
      <c r="AQ1" t="s">
        <v>69</v>
      </c>
      <c r="AR1" t="s">
        <v>70</v>
      </c>
      <c r="AS1" t="s">
        <v>71</v>
      </c>
      <c r="AT1" t="s">
        <v>72</v>
      </c>
      <c r="AU1" t="s">
        <v>73</v>
      </c>
      <c r="AV1" t="s">
        <v>74</v>
      </c>
      <c r="AW1" t="s">
        <v>75</v>
      </c>
    </row>
    <row r="2" spans="1:49" x14ac:dyDescent="0.25">
      <c r="A2" t="s">
        <v>3</v>
      </c>
      <c r="B2" t="s">
        <v>141</v>
      </c>
      <c r="E2">
        <v>0.8</v>
      </c>
      <c r="F2">
        <v>2.0000000000000001E-4</v>
      </c>
      <c r="G2">
        <v>-42.96</v>
      </c>
      <c r="H2">
        <v>21.59</v>
      </c>
      <c r="I2">
        <v>0.70499999999999996</v>
      </c>
      <c r="J2">
        <v>2458</v>
      </c>
      <c r="K2">
        <v>0</v>
      </c>
      <c r="L2">
        <v>37448</v>
      </c>
      <c r="M2">
        <v>17.440000000000001</v>
      </c>
      <c r="N2">
        <v>75.600000000000136</v>
      </c>
      <c r="O2">
        <v>740.56</v>
      </c>
      <c r="P2">
        <v>0</v>
      </c>
      <c r="Q2">
        <v>0</v>
      </c>
      <c r="R2">
        <v>991.55</v>
      </c>
      <c r="S2">
        <v>1157.45</v>
      </c>
      <c r="T2">
        <v>566</v>
      </c>
      <c r="U2">
        <v>1054.3499999999999</v>
      </c>
      <c r="V2">
        <v>0</v>
      </c>
      <c r="W2">
        <v>0</v>
      </c>
      <c r="X2">
        <v>0</v>
      </c>
      <c r="Y2">
        <v>0</v>
      </c>
      <c r="Z2">
        <v>1129.95</v>
      </c>
      <c r="AA2">
        <v>72000</v>
      </c>
      <c r="AB2">
        <v>153</v>
      </c>
      <c r="AC2">
        <v>0</v>
      </c>
      <c r="AD2">
        <v>0</v>
      </c>
      <c r="AE2">
        <v>0</v>
      </c>
      <c r="AF2">
        <v>0</v>
      </c>
      <c r="AG2">
        <v>250</v>
      </c>
      <c r="AH2">
        <v>564.25</v>
      </c>
      <c r="AI2">
        <v>150.05000000000001</v>
      </c>
      <c r="AJ2">
        <v>218.8</v>
      </c>
      <c r="AK2">
        <v>0</v>
      </c>
      <c r="AL2">
        <v>0</v>
      </c>
      <c r="AM2">
        <v>374.95</v>
      </c>
      <c r="AN2">
        <v>-65.800000000000011</v>
      </c>
      <c r="AO2">
        <v>17.440000000000001</v>
      </c>
      <c r="AP2">
        <v>122388</v>
      </c>
      <c r="AQ2">
        <v>0</v>
      </c>
      <c r="AR2">
        <v>5453</v>
      </c>
      <c r="AS2">
        <v>-0.16400000000000001</v>
      </c>
      <c r="AT2">
        <v>21.59</v>
      </c>
      <c r="AU2">
        <v>-42.96</v>
      </c>
      <c r="AV2">
        <v>2.0000000000000001E-4</v>
      </c>
      <c r="AW2">
        <v>-0.2</v>
      </c>
    </row>
    <row r="3" spans="1:49" x14ac:dyDescent="0.25">
      <c r="A3" t="s">
        <v>5</v>
      </c>
      <c r="B3" s="1">
        <v>45429</v>
      </c>
      <c r="E3">
        <v>0.78</v>
      </c>
      <c r="F3">
        <v>2.0000000000000001E-4</v>
      </c>
      <c r="G3">
        <v>-44.53</v>
      </c>
      <c r="H3">
        <v>22.77</v>
      </c>
      <c r="I3">
        <v>0.67300000000000004</v>
      </c>
      <c r="J3">
        <v>386</v>
      </c>
      <c r="K3">
        <v>0</v>
      </c>
      <c r="L3">
        <v>13013</v>
      </c>
      <c r="M3">
        <v>17.22</v>
      </c>
      <c r="N3">
        <v>176.14999999999998</v>
      </c>
      <c r="O3">
        <v>675.55</v>
      </c>
      <c r="P3">
        <v>0</v>
      </c>
      <c r="Q3">
        <v>0</v>
      </c>
      <c r="R3">
        <v>910.8</v>
      </c>
      <c r="S3">
        <v>1066.05</v>
      </c>
      <c r="T3">
        <v>515.25</v>
      </c>
      <c r="U3">
        <v>880.9</v>
      </c>
      <c r="V3">
        <v>0</v>
      </c>
      <c r="W3">
        <v>0</v>
      </c>
      <c r="X3">
        <v>0</v>
      </c>
      <c r="Y3">
        <v>0</v>
      </c>
      <c r="Z3">
        <v>1057.05</v>
      </c>
      <c r="AA3">
        <v>72100</v>
      </c>
      <c r="AB3">
        <v>170</v>
      </c>
      <c r="AC3">
        <v>0</v>
      </c>
      <c r="AD3">
        <v>0</v>
      </c>
      <c r="AE3">
        <v>0</v>
      </c>
      <c r="AF3">
        <v>0</v>
      </c>
      <c r="AG3">
        <v>284.64999999999998</v>
      </c>
      <c r="AH3">
        <v>606.95000000000005</v>
      </c>
      <c r="AI3">
        <v>164.25</v>
      </c>
      <c r="AJ3">
        <v>246.7</v>
      </c>
      <c r="AK3">
        <v>0</v>
      </c>
      <c r="AL3">
        <v>0</v>
      </c>
      <c r="AM3">
        <v>412.55</v>
      </c>
      <c r="AN3">
        <v>-76.699999999999989</v>
      </c>
      <c r="AO3">
        <v>17.22</v>
      </c>
      <c r="AP3">
        <v>42930</v>
      </c>
      <c r="AQ3">
        <v>0</v>
      </c>
      <c r="AR3">
        <v>1035</v>
      </c>
      <c r="AS3">
        <v>-0.18</v>
      </c>
      <c r="AT3">
        <v>22.77</v>
      </c>
      <c r="AU3">
        <v>-44.53</v>
      </c>
      <c r="AV3">
        <v>2.0000000000000001E-4</v>
      </c>
      <c r="AW3">
        <v>-0.22</v>
      </c>
    </row>
    <row r="4" spans="1:49" x14ac:dyDescent="0.25">
      <c r="A4" t="s">
        <v>6</v>
      </c>
      <c r="B4" s="2" t="s">
        <v>146</v>
      </c>
      <c r="E4">
        <v>0.76</v>
      </c>
      <c r="F4">
        <v>2.0000000000000001E-4</v>
      </c>
      <c r="G4">
        <v>-46.3</v>
      </c>
      <c r="H4">
        <v>23.99</v>
      </c>
      <c r="I4">
        <v>0.65600000000000003</v>
      </c>
      <c r="J4">
        <v>728</v>
      </c>
      <c r="K4">
        <v>0</v>
      </c>
      <c r="L4">
        <v>16961</v>
      </c>
      <c r="M4">
        <v>17.09</v>
      </c>
      <c r="N4">
        <v>157.95000000000005</v>
      </c>
      <c r="O4">
        <v>642.74</v>
      </c>
      <c r="P4">
        <v>0</v>
      </c>
      <c r="Q4">
        <v>0</v>
      </c>
      <c r="R4">
        <v>815.3</v>
      </c>
      <c r="S4">
        <v>989.85</v>
      </c>
      <c r="T4">
        <v>465</v>
      </c>
      <c r="U4">
        <v>812.05</v>
      </c>
      <c r="V4">
        <v>0</v>
      </c>
      <c r="W4">
        <v>0</v>
      </c>
      <c r="X4">
        <v>0</v>
      </c>
      <c r="Y4">
        <v>0</v>
      </c>
      <c r="Z4">
        <v>970</v>
      </c>
      <c r="AA4">
        <v>72200</v>
      </c>
      <c r="AB4">
        <v>190.7</v>
      </c>
      <c r="AC4">
        <v>0</v>
      </c>
      <c r="AD4">
        <v>0</v>
      </c>
      <c r="AE4">
        <v>0</v>
      </c>
      <c r="AF4">
        <v>0</v>
      </c>
      <c r="AG4">
        <v>313.89999999999998</v>
      </c>
      <c r="AH4">
        <v>655</v>
      </c>
      <c r="AI4">
        <v>183.1</v>
      </c>
      <c r="AJ4">
        <v>273.45</v>
      </c>
      <c r="AK4">
        <v>0</v>
      </c>
      <c r="AL4">
        <v>0</v>
      </c>
      <c r="AM4">
        <v>409.2</v>
      </c>
      <c r="AN4">
        <v>-82.75</v>
      </c>
      <c r="AO4">
        <v>17.09</v>
      </c>
      <c r="AP4">
        <v>58238</v>
      </c>
      <c r="AQ4">
        <v>0</v>
      </c>
      <c r="AR4">
        <v>1291</v>
      </c>
      <c r="AS4">
        <v>-0.19800000000000001</v>
      </c>
      <c r="AT4">
        <v>23.99</v>
      </c>
      <c r="AU4">
        <v>-46.3</v>
      </c>
      <c r="AV4">
        <v>2.0000000000000001E-4</v>
      </c>
      <c r="AW4">
        <v>-0.24</v>
      </c>
    </row>
    <row r="5" spans="1:49" x14ac:dyDescent="0.25">
      <c r="A5" t="s">
        <v>7</v>
      </c>
      <c r="B5">
        <v>72776.13</v>
      </c>
      <c r="C5">
        <v>73008</v>
      </c>
      <c r="E5">
        <v>0.74</v>
      </c>
      <c r="F5">
        <v>2.9999999999999997E-4</v>
      </c>
      <c r="G5">
        <v>-46.2</v>
      </c>
      <c r="H5">
        <v>24.92</v>
      </c>
      <c r="I5">
        <v>0.63400000000000001</v>
      </c>
      <c r="J5">
        <v>486</v>
      </c>
      <c r="K5">
        <v>0</v>
      </c>
      <c r="L5">
        <v>44893</v>
      </c>
      <c r="M5">
        <v>16.53</v>
      </c>
      <c r="N5">
        <v>54.899999999999977</v>
      </c>
      <c r="O5">
        <v>614.76</v>
      </c>
      <c r="P5">
        <v>0</v>
      </c>
      <c r="Q5">
        <v>0</v>
      </c>
      <c r="R5">
        <v>853.85</v>
      </c>
      <c r="S5">
        <v>927</v>
      </c>
      <c r="T5">
        <v>416.7</v>
      </c>
      <c r="U5">
        <v>833</v>
      </c>
      <c r="V5">
        <v>0</v>
      </c>
      <c r="W5">
        <v>0</v>
      </c>
      <c r="X5">
        <v>0</v>
      </c>
      <c r="Y5">
        <v>0</v>
      </c>
      <c r="Z5">
        <v>887.9</v>
      </c>
      <c r="AA5">
        <v>72300</v>
      </c>
      <c r="AB5">
        <v>203.05</v>
      </c>
      <c r="AC5">
        <v>0</v>
      </c>
      <c r="AD5">
        <v>0</v>
      </c>
      <c r="AE5">
        <v>0</v>
      </c>
      <c r="AF5">
        <v>0</v>
      </c>
      <c r="AG5">
        <v>352.9</v>
      </c>
      <c r="AH5">
        <v>706.6</v>
      </c>
      <c r="AI5">
        <v>203.05</v>
      </c>
      <c r="AJ5">
        <v>296.14999999999998</v>
      </c>
      <c r="AK5">
        <v>0</v>
      </c>
      <c r="AL5">
        <v>0</v>
      </c>
      <c r="AM5">
        <v>443.09</v>
      </c>
      <c r="AN5">
        <v>-93.099999999999966</v>
      </c>
      <c r="AO5">
        <v>16.53</v>
      </c>
      <c r="AP5">
        <v>67840</v>
      </c>
      <c r="AQ5">
        <v>0</v>
      </c>
      <c r="AR5">
        <v>2691</v>
      </c>
      <c r="AS5">
        <v>-0.21199999999999999</v>
      </c>
      <c r="AT5">
        <v>24.92</v>
      </c>
      <c r="AU5">
        <v>-46.2</v>
      </c>
      <c r="AV5">
        <v>2.9999999999999997E-4</v>
      </c>
      <c r="AW5">
        <v>-0.26</v>
      </c>
    </row>
    <row r="6" spans="1:49" x14ac:dyDescent="0.25">
      <c r="A6" t="s">
        <v>8</v>
      </c>
      <c r="B6">
        <v>72476.649999999994</v>
      </c>
      <c r="C6">
        <v>72735.95</v>
      </c>
      <c r="E6">
        <v>0.71</v>
      </c>
      <c r="F6">
        <v>2.9999999999999997E-4</v>
      </c>
      <c r="G6">
        <v>-48.89</v>
      </c>
      <c r="H6">
        <v>26.22</v>
      </c>
      <c r="I6">
        <v>0.59399999999999997</v>
      </c>
      <c r="J6">
        <v>464</v>
      </c>
      <c r="K6">
        <v>0</v>
      </c>
      <c r="L6">
        <v>33560</v>
      </c>
      <c r="M6">
        <v>16.72</v>
      </c>
      <c r="N6">
        <v>73.850000000000023</v>
      </c>
      <c r="O6">
        <v>576.67999999999995</v>
      </c>
      <c r="P6">
        <v>0</v>
      </c>
      <c r="Q6">
        <v>0</v>
      </c>
      <c r="R6">
        <v>781.6</v>
      </c>
      <c r="S6">
        <v>840.8</v>
      </c>
      <c r="T6">
        <v>373.6</v>
      </c>
      <c r="U6">
        <v>762.55</v>
      </c>
      <c r="V6">
        <v>0</v>
      </c>
      <c r="W6">
        <v>0</v>
      </c>
      <c r="X6">
        <v>0</v>
      </c>
      <c r="Y6">
        <v>0</v>
      </c>
      <c r="Z6">
        <v>836.4</v>
      </c>
      <c r="AA6">
        <v>72400</v>
      </c>
      <c r="AB6">
        <v>235.95</v>
      </c>
      <c r="AC6">
        <v>0</v>
      </c>
      <c r="AD6">
        <v>0</v>
      </c>
      <c r="AE6">
        <v>0</v>
      </c>
      <c r="AF6">
        <v>0</v>
      </c>
      <c r="AG6">
        <v>371.95</v>
      </c>
      <c r="AH6">
        <v>761</v>
      </c>
      <c r="AI6">
        <v>229.8</v>
      </c>
      <c r="AJ6">
        <v>328.35</v>
      </c>
      <c r="AK6">
        <v>0</v>
      </c>
      <c r="AL6">
        <v>0</v>
      </c>
      <c r="AM6">
        <v>454.35</v>
      </c>
      <c r="AN6">
        <v>-92.400000000000034</v>
      </c>
      <c r="AO6">
        <v>16.72</v>
      </c>
      <c r="AP6">
        <v>43508</v>
      </c>
      <c r="AQ6">
        <v>0</v>
      </c>
      <c r="AR6">
        <v>999</v>
      </c>
      <c r="AS6">
        <v>-0.23599999999999999</v>
      </c>
      <c r="AT6">
        <v>26.22</v>
      </c>
      <c r="AU6">
        <v>-48.89</v>
      </c>
      <c r="AV6">
        <v>2.9999999999999997E-4</v>
      </c>
      <c r="AW6">
        <v>-0.28999999999999998</v>
      </c>
    </row>
    <row r="7" spans="1:49" x14ac:dyDescent="0.25">
      <c r="A7" t="s">
        <v>9</v>
      </c>
      <c r="B7">
        <v>72863.56</v>
      </c>
      <c r="C7">
        <v>73008</v>
      </c>
      <c r="E7">
        <v>0.69</v>
      </c>
      <c r="F7">
        <v>2.9999999999999997E-4</v>
      </c>
      <c r="G7">
        <v>-48.94</v>
      </c>
      <c r="H7">
        <v>27.15</v>
      </c>
      <c r="I7">
        <v>0.56000000000000005</v>
      </c>
      <c r="J7">
        <v>5099</v>
      </c>
      <c r="K7">
        <v>0</v>
      </c>
      <c r="L7">
        <v>81770</v>
      </c>
      <c r="M7">
        <v>16.3</v>
      </c>
      <c r="N7">
        <v>80.150000000000091</v>
      </c>
      <c r="O7">
        <v>535.16</v>
      </c>
      <c r="P7">
        <v>0</v>
      </c>
      <c r="Q7">
        <v>0</v>
      </c>
      <c r="R7">
        <v>669.95</v>
      </c>
      <c r="S7">
        <v>783.95</v>
      </c>
      <c r="T7">
        <v>333.9</v>
      </c>
      <c r="U7">
        <v>703.8</v>
      </c>
      <c r="V7">
        <v>0</v>
      </c>
      <c r="W7">
        <v>0</v>
      </c>
      <c r="X7">
        <v>0</v>
      </c>
      <c r="Y7">
        <v>0</v>
      </c>
      <c r="Z7">
        <v>783.95</v>
      </c>
      <c r="AA7">
        <v>72500</v>
      </c>
      <c r="AB7">
        <v>255.75</v>
      </c>
      <c r="AC7">
        <v>0</v>
      </c>
      <c r="AD7">
        <v>0</v>
      </c>
      <c r="AE7">
        <v>0</v>
      </c>
      <c r="AF7">
        <v>0</v>
      </c>
      <c r="AG7">
        <v>410.25</v>
      </c>
      <c r="AH7">
        <v>820.5</v>
      </c>
      <c r="AI7">
        <v>255.7</v>
      </c>
      <c r="AJ7">
        <v>362.4</v>
      </c>
      <c r="AK7">
        <v>0</v>
      </c>
      <c r="AL7">
        <v>0</v>
      </c>
      <c r="AM7">
        <v>469.54</v>
      </c>
      <c r="AN7">
        <v>-106.64999999999998</v>
      </c>
      <c r="AO7">
        <v>16.3</v>
      </c>
      <c r="AP7">
        <v>70191</v>
      </c>
      <c r="AQ7">
        <v>0</v>
      </c>
      <c r="AR7">
        <v>5228</v>
      </c>
      <c r="AS7">
        <v>-0.255</v>
      </c>
      <c r="AT7">
        <v>27.15</v>
      </c>
      <c r="AU7">
        <v>-48.94</v>
      </c>
      <c r="AV7">
        <v>2.9999999999999997E-4</v>
      </c>
      <c r="AW7">
        <v>-0.31</v>
      </c>
    </row>
    <row r="8" spans="1:49" x14ac:dyDescent="0.25">
      <c r="A8" t="s">
        <v>10</v>
      </c>
      <c r="B8">
        <v>71866.009999999995</v>
      </c>
      <c r="C8">
        <v>72042</v>
      </c>
      <c r="E8">
        <v>0.66</v>
      </c>
      <c r="F8">
        <v>2.9999999999999997E-4</v>
      </c>
      <c r="G8">
        <v>-49.09</v>
      </c>
      <c r="H8">
        <v>28.04</v>
      </c>
      <c r="I8">
        <v>0.54500000000000004</v>
      </c>
      <c r="J8">
        <v>952</v>
      </c>
      <c r="K8">
        <v>0</v>
      </c>
      <c r="L8">
        <v>35638</v>
      </c>
      <c r="M8">
        <v>15.97</v>
      </c>
      <c r="N8">
        <v>45.100000000000023</v>
      </c>
      <c r="O8">
        <v>507.41</v>
      </c>
      <c r="P8">
        <v>0</v>
      </c>
      <c r="Q8">
        <v>0</v>
      </c>
      <c r="R8">
        <v>550</v>
      </c>
      <c r="S8">
        <v>709.6</v>
      </c>
      <c r="T8">
        <v>298</v>
      </c>
      <c r="U8">
        <v>641.85</v>
      </c>
      <c r="V8">
        <v>0</v>
      </c>
      <c r="W8">
        <v>0</v>
      </c>
      <c r="X8">
        <v>0</v>
      </c>
      <c r="Y8">
        <v>0</v>
      </c>
      <c r="Z8">
        <v>686.95</v>
      </c>
      <c r="AA8">
        <v>72600</v>
      </c>
      <c r="AB8">
        <v>280.10000000000002</v>
      </c>
      <c r="AC8">
        <v>0</v>
      </c>
      <c r="AD8">
        <v>0</v>
      </c>
      <c r="AE8">
        <v>0</v>
      </c>
      <c r="AF8">
        <v>0</v>
      </c>
      <c r="AG8">
        <v>549.9</v>
      </c>
      <c r="AH8">
        <v>882</v>
      </c>
      <c r="AI8">
        <v>280.10000000000002</v>
      </c>
      <c r="AJ8">
        <v>403</v>
      </c>
      <c r="AK8">
        <v>0</v>
      </c>
      <c r="AL8">
        <v>0</v>
      </c>
      <c r="AM8">
        <v>458.39</v>
      </c>
      <c r="AN8">
        <v>-122.89999999999998</v>
      </c>
      <c r="AO8">
        <v>15.97</v>
      </c>
      <c r="AP8">
        <v>29928</v>
      </c>
      <c r="AQ8">
        <v>0</v>
      </c>
      <c r="AR8">
        <v>1088</v>
      </c>
      <c r="AS8">
        <v>-0.27600000000000002</v>
      </c>
      <c r="AT8">
        <v>28.04</v>
      </c>
      <c r="AU8">
        <v>-49.09</v>
      </c>
      <c r="AV8">
        <v>2.9999999999999997E-4</v>
      </c>
      <c r="AW8">
        <v>-0.34</v>
      </c>
    </row>
    <row r="9" spans="1:49" x14ac:dyDescent="0.25">
      <c r="A9" t="s">
        <v>11</v>
      </c>
      <c r="B9">
        <v>72664.47</v>
      </c>
      <c r="C9">
        <v>72863.7</v>
      </c>
      <c r="E9">
        <v>0.63</v>
      </c>
      <c r="F9">
        <v>2.9999999999999997E-4</v>
      </c>
      <c r="G9">
        <v>-51.07</v>
      </c>
      <c r="H9">
        <v>28.95</v>
      </c>
      <c r="I9">
        <v>0.51800000000000002</v>
      </c>
      <c r="J9">
        <v>982</v>
      </c>
      <c r="K9">
        <v>0</v>
      </c>
      <c r="L9">
        <v>36476</v>
      </c>
      <c r="M9">
        <v>16.2</v>
      </c>
      <c r="N9">
        <v>33.549999999999955</v>
      </c>
      <c r="O9">
        <v>483.7</v>
      </c>
      <c r="P9">
        <v>0</v>
      </c>
      <c r="Q9">
        <v>0</v>
      </c>
      <c r="R9">
        <v>596</v>
      </c>
      <c r="S9">
        <v>645.04999999999995</v>
      </c>
      <c r="T9">
        <v>265</v>
      </c>
      <c r="U9">
        <v>581.45000000000005</v>
      </c>
      <c r="V9">
        <v>0</v>
      </c>
      <c r="W9">
        <v>0</v>
      </c>
      <c r="X9">
        <v>0</v>
      </c>
      <c r="Y9">
        <v>0</v>
      </c>
      <c r="Z9">
        <v>615</v>
      </c>
      <c r="AA9">
        <v>72700</v>
      </c>
      <c r="AB9">
        <v>323</v>
      </c>
      <c r="AC9">
        <v>0</v>
      </c>
      <c r="AD9">
        <v>0</v>
      </c>
      <c r="AE9">
        <v>0</v>
      </c>
      <c r="AF9">
        <v>0</v>
      </c>
      <c r="AG9">
        <v>570.04999999999995</v>
      </c>
      <c r="AH9">
        <v>945.65</v>
      </c>
      <c r="AI9">
        <v>323</v>
      </c>
      <c r="AJ9">
        <v>439.35</v>
      </c>
      <c r="AK9">
        <v>0</v>
      </c>
      <c r="AL9">
        <v>0</v>
      </c>
      <c r="AM9">
        <v>466.65</v>
      </c>
      <c r="AN9">
        <v>-116.35000000000002</v>
      </c>
      <c r="AO9">
        <v>16.2</v>
      </c>
      <c r="AP9">
        <v>20835</v>
      </c>
      <c r="AQ9">
        <v>0</v>
      </c>
      <c r="AR9">
        <v>962</v>
      </c>
      <c r="AS9">
        <v>-0.30199999999999999</v>
      </c>
      <c r="AT9">
        <v>28.95</v>
      </c>
      <c r="AU9">
        <v>-51.07</v>
      </c>
      <c r="AV9">
        <v>2.9999999999999997E-4</v>
      </c>
      <c r="AW9">
        <v>-0.37</v>
      </c>
    </row>
    <row r="10" spans="1:49" x14ac:dyDescent="0.25">
      <c r="A10" t="s">
        <v>12</v>
      </c>
      <c r="B10">
        <v>452</v>
      </c>
      <c r="E10">
        <v>0.59</v>
      </c>
      <c r="F10">
        <v>2.9999999999999997E-4</v>
      </c>
      <c r="G10">
        <v>-52.75</v>
      </c>
      <c r="H10">
        <v>29.64</v>
      </c>
      <c r="I10">
        <v>0.48899999999999999</v>
      </c>
      <c r="J10">
        <v>1180</v>
      </c>
      <c r="K10">
        <v>0</v>
      </c>
      <c r="L10">
        <v>38861</v>
      </c>
      <c r="M10">
        <v>16.46</v>
      </c>
      <c r="N10">
        <v>22.300000000000068</v>
      </c>
      <c r="O10">
        <v>470.48</v>
      </c>
      <c r="P10">
        <v>0</v>
      </c>
      <c r="Q10">
        <v>0</v>
      </c>
      <c r="R10">
        <v>484.95</v>
      </c>
      <c r="S10">
        <v>585</v>
      </c>
      <c r="T10">
        <v>232.5</v>
      </c>
      <c r="U10">
        <v>527.79999999999995</v>
      </c>
      <c r="V10">
        <v>0</v>
      </c>
      <c r="W10">
        <v>0</v>
      </c>
      <c r="X10">
        <v>0</v>
      </c>
      <c r="Y10">
        <v>0</v>
      </c>
      <c r="Z10">
        <v>550.1</v>
      </c>
      <c r="AA10">
        <v>72800</v>
      </c>
      <c r="AB10">
        <v>370</v>
      </c>
      <c r="AC10">
        <v>0</v>
      </c>
      <c r="AD10">
        <v>0</v>
      </c>
      <c r="AE10">
        <v>0</v>
      </c>
      <c r="AF10">
        <v>0</v>
      </c>
      <c r="AG10">
        <v>547.95000000000005</v>
      </c>
      <c r="AH10">
        <v>1018.25</v>
      </c>
      <c r="AI10">
        <v>359.7</v>
      </c>
      <c r="AJ10">
        <v>488.45</v>
      </c>
      <c r="AK10">
        <v>0</v>
      </c>
      <c r="AL10">
        <v>0</v>
      </c>
      <c r="AM10">
        <v>475.91</v>
      </c>
      <c r="AN10">
        <v>-118.44999999999999</v>
      </c>
      <c r="AO10">
        <v>16.46</v>
      </c>
      <c r="AP10">
        <v>16415</v>
      </c>
      <c r="AQ10">
        <v>0</v>
      </c>
      <c r="AR10">
        <v>1060</v>
      </c>
      <c r="AS10">
        <v>-0.32900000000000001</v>
      </c>
      <c r="AT10">
        <v>29.64</v>
      </c>
      <c r="AU10">
        <v>-52.75</v>
      </c>
      <c r="AV10">
        <v>2.9999999999999997E-4</v>
      </c>
      <c r="AW10">
        <v>-0.41</v>
      </c>
    </row>
    <row r="11" spans="1:49" x14ac:dyDescent="0.25">
      <c r="A11" t="s">
        <v>13</v>
      </c>
      <c r="B11">
        <v>70800</v>
      </c>
      <c r="E11">
        <v>0.56000000000000005</v>
      </c>
      <c r="F11">
        <v>2.9999999999999997E-4</v>
      </c>
      <c r="G11">
        <v>-51.86</v>
      </c>
      <c r="H11">
        <v>30.1</v>
      </c>
      <c r="I11">
        <v>0.45600000000000002</v>
      </c>
      <c r="J11">
        <v>1473</v>
      </c>
      <c r="K11">
        <v>0</v>
      </c>
      <c r="L11">
        <v>30597</v>
      </c>
      <c r="M11">
        <v>16.13</v>
      </c>
      <c r="N11">
        <v>39.350000000000023</v>
      </c>
      <c r="O11">
        <v>422.36</v>
      </c>
      <c r="P11">
        <v>0</v>
      </c>
      <c r="Q11">
        <v>0</v>
      </c>
      <c r="R11">
        <v>477.3</v>
      </c>
      <c r="S11">
        <v>526.20000000000005</v>
      </c>
      <c r="T11">
        <v>206.5</v>
      </c>
      <c r="U11">
        <v>465.65</v>
      </c>
      <c r="V11">
        <v>0</v>
      </c>
      <c r="W11">
        <v>0</v>
      </c>
      <c r="X11">
        <v>0</v>
      </c>
      <c r="Y11">
        <v>0</v>
      </c>
      <c r="Z11">
        <v>505</v>
      </c>
      <c r="AA11">
        <v>72900</v>
      </c>
      <c r="AB11">
        <v>403.05</v>
      </c>
      <c r="AC11">
        <v>0</v>
      </c>
      <c r="AD11">
        <v>0</v>
      </c>
      <c r="AE11">
        <v>0</v>
      </c>
      <c r="AF11">
        <v>0</v>
      </c>
      <c r="AG11">
        <v>630.15</v>
      </c>
      <c r="AH11">
        <v>1084</v>
      </c>
      <c r="AI11">
        <v>403.05</v>
      </c>
      <c r="AJ11">
        <v>518.65</v>
      </c>
      <c r="AK11">
        <v>0</v>
      </c>
      <c r="AL11">
        <v>0</v>
      </c>
      <c r="AM11">
        <v>502.3</v>
      </c>
      <c r="AN11">
        <v>-115.59999999999997</v>
      </c>
      <c r="AO11">
        <v>16.13</v>
      </c>
      <c r="AP11">
        <v>9126</v>
      </c>
      <c r="AQ11">
        <v>0</v>
      </c>
      <c r="AR11">
        <v>963</v>
      </c>
      <c r="AS11">
        <v>-0.35299999999999998</v>
      </c>
      <c r="AT11">
        <v>30.1</v>
      </c>
      <c r="AU11">
        <v>-51.86</v>
      </c>
      <c r="AV11">
        <v>2.9999999999999997E-4</v>
      </c>
      <c r="AW11">
        <v>-0.44</v>
      </c>
    </row>
    <row r="12" spans="1:49" x14ac:dyDescent="0.25">
      <c r="A12" t="s">
        <v>14</v>
      </c>
      <c r="B12">
        <v>1981.85</v>
      </c>
      <c r="C12">
        <v>52.8</v>
      </c>
      <c r="E12">
        <v>0.54</v>
      </c>
      <c r="F12">
        <v>4.0000000000000002E-4</v>
      </c>
      <c r="G12">
        <v>-40.130000000000003</v>
      </c>
      <c r="H12">
        <v>30.35</v>
      </c>
      <c r="I12">
        <v>0.42599999999999999</v>
      </c>
      <c r="J12">
        <v>5617</v>
      </c>
      <c r="K12">
        <v>0</v>
      </c>
      <c r="L12">
        <v>90739</v>
      </c>
      <c r="M12">
        <v>13.04</v>
      </c>
      <c r="N12">
        <v>24.350000000000023</v>
      </c>
      <c r="O12">
        <v>331.46</v>
      </c>
      <c r="P12">
        <v>0</v>
      </c>
      <c r="Q12">
        <v>0</v>
      </c>
      <c r="R12">
        <v>379.95</v>
      </c>
      <c r="S12">
        <v>471.3</v>
      </c>
      <c r="T12">
        <v>178.55</v>
      </c>
      <c r="U12">
        <v>418.5</v>
      </c>
      <c r="V12">
        <v>0</v>
      </c>
      <c r="W12">
        <v>0</v>
      </c>
      <c r="X12">
        <v>0</v>
      </c>
      <c r="Y12">
        <v>0</v>
      </c>
      <c r="Z12">
        <v>442.85</v>
      </c>
      <c r="AA12">
        <v>73000</v>
      </c>
      <c r="AB12">
        <v>465</v>
      </c>
      <c r="AC12">
        <v>0</v>
      </c>
      <c r="AD12">
        <v>0</v>
      </c>
      <c r="AE12">
        <v>0</v>
      </c>
      <c r="AF12">
        <v>0</v>
      </c>
      <c r="AG12">
        <v>673.95</v>
      </c>
      <c r="AH12">
        <v>1166.9000000000001</v>
      </c>
      <c r="AI12">
        <v>452.25</v>
      </c>
      <c r="AJ12">
        <v>570.1</v>
      </c>
      <c r="AK12">
        <v>0</v>
      </c>
      <c r="AL12">
        <v>0</v>
      </c>
      <c r="AM12">
        <v>695.6</v>
      </c>
      <c r="AN12">
        <v>-105.10000000000002</v>
      </c>
      <c r="AO12">
        <v>13.04</v>
      </c>
      <c r="AP12">
        <v>19901</v>
      </c>
      <c r="AQ12">
        <v>0</v>
      </c>
      <c r="AR12">
        <v>4038</v>
      </c>
      <c r="AS12">
        <v>-0.38</v>
      </c>
      <c r="AT12">
        <v>30.35</v>
      </c>
      <c r="AU12">
        <v>-40.130000000000003</v>
      </c>
      <c r="AV12">
        <v>4.0000000000000002E-4</v>
      </c>
      <c r="AW12">
        <v>-0.46</v>
      </c>
    </row>
    <row r="13" spans="1:49" x14ac:dyDescent="0.25">
      <c r="A13" t="s">
        <v>15</v>
      </c>
      <c r="B13">
        <v>73000</v>
      </c>
      <c r="E13">
        <v>0.5</v>
      </c>
      <c r="F13">
        <v>4.0000000000000002E-4</v>
      </c>
      <c r="G13">
        <v>-40.590000000000003</v>
      </c>
      <c r="H13">
        <v>30.49</v>
      </c>
      <c r="I13">
        <v>0.39400000000000002</v>
      </c>
      <c r="J13">
        <v>904</v>
      </c>
      <c r="K13">
        <v>0</v>
      </c>
      <c r="L13">
        <v>13857</v>
      </c>
      <c r="M13">
        <v>13.31</v>
      </c>
      <c r="N13">
        <v>30</v>
      </c>
      <c r="O13">
        <v>305.36</v>
      </c>
      <c r="P13">
        <v>0</v>
      </c>
      <c r="Q13">
        <v>0</v>
      </c>
      <c r="R13">
        <v>357.4</v>
      </c>
      <c r="S13">
        <v>420</v>
      </c>
      <c r="T13">
        <v>156.25</v>
      </c>
      <c r="U13">
        <v>370</v>
      </c>
      <c r="V13">
        <v>0</v>
      </c>
      <c r="W13">
        <v>0</v>
      </c>
      <c r="X13">
        <v>0</v>
      </c>
      <c r="Y13">
        <v>0</v>
      </c>
      <c r="Z13">
        <v>400</v>
      </c>
      <c r="AA13">
        <v>73100</v>
      </c>
      <c r="AB13">
        <v>485.95</v>
      </c>
      <c r="AC13">
        <v>0</v>
      </c>
      <c r="AD13">
        <v>0</v>
      </c>
      <c r="AE13">
        <v>0</v>
      </c>
      <c r="AF13">
        <v>0</v>
      </c>
      <c r="AG13">
        <v>759.5</v>
      </c>
      <c r="AH13">
        <v>1216.6500000000001</v>
      </c>
      <c r="AI13">
        <v>485.95</v>
      </c>
      <c r="AJ13">
        <v>653.15</v>
      </c>
      <c r="AK13">
        <v>0</v>
      </c>
      <c r="AL13">
        <v>0</v>
      </c>
      <c r="AM13">
        <v>596.62</v>
      </c>
      <c r="AN13">
        <v>-167.2</v>
      </c>
      <c r="AO13">
        <v>13.31</v>
      </c>
      <c r="AP13">
        <v>840</v>
      </c>
      <c r="AQ13">
        <v>0</v>
      </c>
      <c r="AR13">
        <v>208</v>
      </c>
      <c r="AS13">
        <v>-0.40600000000000003</v>
      </c>
      <c r="AT13">
        <v>30.49</v>
      </c>
      <c r="AU13">
        <v>-40.590000000000003</v>
      </c>
      <c r="AV13">
        <v>4.0000000000000002E-4</v>
      </c>
      <c r="AW13">
        <v>-0.5</v>
      </c>
    </row>
    <row r="14" spans="1:49" x14ac:dyDescent="0.25">
      <c r="A14" t="s">
        <v>16</v>
      </c>
      <c r="B14">
        <v>442.85</v>
      </c>
      <c r="C14">
        <v>465</v>
      </c>
      <c r="E14">
        <v>0.46</v>
      </c>
      <c r="F14">
        <v>4.0000000000000002E-4</v>
      </c>
      <c r="G14">
        <v>-38.340000000000003</v>
      </c>
      <c r="H14">
        <v>30.32</v>
      </c>
      <c r="I14">
        <v>0.36299999999999999</v>
      </c>
      <c r="J14">
        <v>1412</v>
      </c>
      <c r="K14">
        <v>0</v>
      </c>
      <c r="L14">
        <v>19084</v>
      </c>
      <c r="M14">
        <v>13.01</v>
      </c>
      <c r="N14">
        <v>23.300000000000011</v>
      </c>
      <c r="O14">
        <v>252.63</v>
      </c>
      <c r="P14">
        <v>0</v>
      </c>
      <c r="Q14">
        <v>0</v>
      </c>
      <c r="R14">
        <v>318.60000000000002</v>
      </c>
      <c r="S14">
        <v>372.3</v>
      </c>
      <c r="T14">
        <v>137.1</v>
      </c>
      <c r="U14">
        <v>320.25</v>
      </c>
      <c r="V14">
        <v>0</v>
      </c>
      <c r="W14">
        <v>0</v>
      </c>
      <c r="X14">
        <v>0</v>
      </c>
      <c r="Y14">
        <v>0</v>
      </c>
      <c r="Z14">
        <v>343.55</v>
      </c>
      <c r="AA14">
        <v>73200</v>
      </c>
      <c r="AB14">
        <v>569</v>
      </c>
      <c r="AC14">
        <v>0</v>
      </c>
      <c r="AD14">
        <v>0</v>
      </c>
      <c r="AE14">
        <v>0</v>
      </c>
      <c r="AF14">
        <v>0</v>
      </c>
      <c r="AG14">
        <v>792.5</v>
      </c>
      <c r="AH14">
        <v>1304.75</v>
      </c>
      <c r="AI14">
        <v>560.1</v>
      </c>
      <c r="AJ14">
        <v>679.45</v>
      </c>
      <c r="AK14">
        <v>0</v>
      </c>
      <c r="AL14">
        <v>0</v>
      </c>
      <c r="AM14">
        <v>748.63</v>
      </c>
      <c r="AN14">
        <v>-110.45000000000005</v>
      </c>
      <c r="AO14">
        <v>13.01</v>
      </c>
      <c r="AP14">
        <v>344</v>
      </c>
      <c r="AQ14">
        <v>0</v>
      </c>
      <c r="AR14">
        <v>301</v>
      </c>
      <c r="AS14">
        <v>-0.43099999999999999</v>
      </c>
      <c r="AT14">
        <v>30.32</v>
      </c>
      <c r="AU14">
        <v>-38.340000000000003</v>
      </c>
      <c r="AV14">
        <v>4.0000000000000002E-4</v>
      </c>
      <c r="AW14">
        <v>-0.54</v>
      </c>
    </row>
    <row r="15" spans="1:49" x14ac:dyDescent="0.25">
      <c r="A15" t="s">
        <v>17</v>
      </c>
      <c r="B15">
        <v>114121</v>
      </c>
      <c r="C15">
        <v>127568</v>
      </c>
      <c r="E15">
        <v>0.42</v>
      </c>
      <c r="F15">
        <v>4.0000000000000002E-4</v>
      </c>
      <c r="G15">
        <v>-36.94</v>
      </c>
      <c r="H15">
        <v>29.86</v>
      </c>
      <c r="I15">
        <v>0.33200000000000002</v>
      </c>
      <c r="J15">
        <v>1703</v>
      </c>
      <c r="K15">
        <v>0</v>
      </c>
      <c r="L15">
        <v>16672</v>
      </c>
      <c r="M15">
        <v>13.05</v>
      </c>
      <c r="N15">
        <v>17.850000000000023</v>
      </c>
      <c r="O15">
        <v>222.95</v>
      </c>
      <c r="P15">
        <v>0</v>
      </c>
      <c r="Q15">
        <v>0</v>
      </c>
      <c r="R15">
        <v>281.64999999999998</v>
      </c>
      <c r="S15">
        <v>330.1</v>
      </c>
      <c r="T15">
        <v>118.65</v>
      </c>
      <c r="U15">
        <v>283.75</v>
      </c>
      <c r="V15">
        <v>0</v>
      </c>
      <c r="W15">
        <v>0</v>
      </c>
      <c r="X15">
        <v>0</v>
      </c>
      <c r="Y15">
        <v>0</v>
      </c>
      <c r="Z15">
        <v>301.60000000000002</v>
      </c>
      <c r="AA15">
        <v>73300</v>
      </c>
      <c r="AB15">
        <v>599.85</v>
      </c>
      <c r="AC15">
        <v>0</v>
      </c>
      <c r="AD15">
        <v>0</v>
      </c>
      <c r="AE15">
        <v>0</v>
      </c>
      <c r="AF15">
        <v>0</v>
      </c>
      <c r="AG15">
        <v>908.3</v>
      </c>
      <c r="AH15">
        <v>1222.1500000000001</v>
      </c>
      <c r="AI15">
        <v>599.85</v>
      </c>
      <c r="AJ15">
        <v>803.8</v>
      </c>
      <c r="AK15">
        <v>0</v>
      </c>
      <c r="AL15">
        <v>0</v>
      </c>
      <c r="AM15">
        <v>912.82</v>
      </c>
      <c r="AN15">
        <v>-203.94999999999993</v>
      </c>
      <c r="AO15">
        <v>13.05</v>
      </c>
      <c r="AP15">
        <v>381</v>
      </c>
      <c r="AQ15">
        <v>0</v>
      </c>
      <c r="AR15">
        <v>65</v>
      </c>
      <c r="AS15">
        <v>-0.45900000000000002</v>
      </c>
      <c r="AT15">
        <v>29.86</v>
      </c>
      <c r="AU15">
        <v>-36.94</v>
      </c>
      <c r="AV15">
        <v>4.0000000000000002E-4</v>
      </c>
      <c r="AW15">
        <v>-0.57999999999999996</v>
      </c>
    </row>
    <row r="16" spans="1:49" x14ac:dyDescent="0.25">
      <c r="A16" t="s">
        <v>18</v>
      </c>
      <c r="E16">
        <v>0.38</v>
      </c>
      <c r="F16">
        <v>4.0000000000000002E-4</v>
      </c>
      <c r="G16">
        <v>-35.36</v>
      </c>
      <c r="H16">
        <v>29.13</v>
      </c>
      <c r="I16">
        <v>0.30199999999999999</v>
      </c>
      <c r="J16">
        <v>825</v>
      </c>
      <c r="K16">
        <v>0</v>
      </c>
      <c r="L16">
        <v>11217</v>
      </c>
      <c r="M16">
        <v>13.15</v>
      </c>
      <c r="N16">
        <v>10.599999999999994</v>
      </c>
      <c r="O16">
        <v>191.97</v>
      </c>
      <c r="P16">
        <v>0</v>
      </c>
      <c r="Q16">
        <v>0</v>
      </c>
      <c r="R16">
        <v>222.05</v>
      </c>
      <c r="S16">
        <v>288.8</v>
      </c>
      <c r="T16">
        <v>103.3</v>
      </c>
      <c r="U16">
        <v>254.6</v>
      </c>
      <c r="V16">
        <v>0</v>
      </c>
      <c r="W16">
        <v>0</v>
      </c>
      <c r="X16">
        <v>0</v>
      </c>
      <c r="Y16">
        <v>0</v>
      </c>
      <c r="Z16">
        <v>265.2</v>
      </c>
      <c r="AA16">
        <v>73400</v>
      </c>
      <c r="AB16">
        <v>688</v>
      </c>
      <c r="AC16">
        <v>0</v>
      </c>
      <c r="AD16">
        <v>0</v>
      </c>
      <c r="AE16">
        <v>0</v>
      </c>
      <c r="AF16">
        <v>0</v>
      </c>
      <c r="AG16">
        <v>1043.8</v>
      </c>
      <c r="AH16">
        <v>1292.75</v>
      </c>
      <c r="AI16">
        <v>688</v>
      </c>
      <c r="AJ16">
        <v>795.25</v>
      </c>
      <c r="AK16">
        <v>0</v>
      </c>
      <c r="AL16">
        <v>0</v>
      </c>
      <c r="AM16">
        <v>956.81</v>
      </c>
      <c r="AN16">
        <v>-107.25</v>
      </c>
      <c r="AO16">
        <v>13.15</v>
      </c>
      <c r="AP16">
        <v>127</v>
      </c>
      <c r="AQ16">
        <v>0</v>
      </c>
      <c r="AR16">
        <v>38</v>
      </c>
      <c r="AS16">
        <v>-0.48099999999999998</v>
      </c>
      <c r="AT16">
        <v>29.13</v>
      </c>
      <c r="AU16">
        <v>-35.36</v>
      </c>
      <c r="AV16">
        <v>4.0000000000000002E-4</v>
      </c>
      <c r="AW16">
        <v>-0.62</v>
      </c>
    </row>
    <row r="17" spans="1:49" x14ac:dyDescent="0.25">
      <c r="A17" t="s">
        <v>19</v>
      </c>
      <c r="B17">
        <v>50194</v>
      </c>
      <c r="C17">
        <v>41762</v>
      </c>
      <c r="E17">
        <v>0.34</v>
      </c>
      <c r="F17">
        <v>4.0000000000000002E-4</v>
      </c>
      <c r="G17">
        <v>-33.04</v>
      </c>
      <c r="H17">
        <v>28.14</v>
      </c>
      <c r="I17">
        <v>0.27300000000000002</v>
      </c>
      <c r="J17">
        <v>3849</v>
      </c>
      <c r="K17">
        <v>0</v>
      </c>
      <c r="L17">
        <v>52807</v>
      </c>
      <c r="M17">
        <v>13.17</v>
      </c>
      <c r="N17">
        <v>15.449999999999989</v>
      </c>
      <c r="O17">
        <v>158.96</v>
      </c>
      <c r="P17">
        <v>0</v>
      </c>
      <c r="Q17">
        <v>0</v>
      </c>
      <c r="R17">
        <v>212.35</v>
      </c>
      <c r="S17">
        <v>255</v>
      </c>
      <c r="T17">
        <v>89.3</v>
      </c>
      <c r="U17">
        <v>214.55</v>
      </c>
      <c r="V17">
        <v>0</v>
      </c>
      <c r="W17">
        <v>0</v>
      </c>
      <c r="X17">
        <v>0</v>
      </c>
      <c r="Y17">
        <v>0</v>
      </c>
      <c r="Z17">
        <v>230</v>
      </c>
      <c r="AA17">
        <v>73500</v>
      </c>
      <c r="AB17">
        <v>746</v>
      </c>
      <c r="AC17">
        <v>0</v>
      </c>
      <c r="AD17">
        <v>0</v>
      </c>
      <c r="AE17">
        <v>0</v>
      </c>
      <c r="AF17">
        <v>0</v>
      </c>
      <c r="AG17">
        <v>1005.1</v>
      </c>
      <c r="AH17">
        <v>1573.5</v>
      </c>
      <c r="AI17">
        <v>739.8</v>
      </c>
      <c r="AJ17">
        <v>854.65</v>
      </c>
      <c r="AK17">
        <v>0</v>
      </c>
      <c r="AL17">
        <v>0</v>
      </c>
      <c r="AM17">
        <v>1015.04</v>
      </c>
      <c r="AN17">
        <v>-108.64999999999998</v>
      </c>
      <c r="AO17">
        <v>13.17</v>
      </c>
      <c r="AP17">
        <v>1682</v>
      </c>
      <c r="AQ17">
        <v>0</v>
      </c>
      <c r="AR17">
        <v>2871</v>
      </c>
      <c r="AS17">
        <v>-0.50600000000000001</v>
      </c>
      <c r="AT17">
        <v>28.14</v>
      </c>
      <c r="AU17">
        <v>-33.04</v>
      </c>
      <c r="AV17">
        <v>4.0000000000000002E-4</v>
      </c>
      <c r="AW17">
        <v>-0.66</v>
      </c>
    </row>
    <row r="18" spans="1:49" x14ac:dyDescent="0.25">
      <c r="A18" t="s">
        <v>20</v>
      </c>
      <c r="B18">
        <v>70800</v>
      </c>
      <c r="C18">
        <v>75200</v>
      </c>
      <c r="E18">
        <v>0.31</v>
      </c>
      <c r="F18">
        <v>4.0000000000000002E-4</v>
      </c>
      <c r="G18">
        <v>-29.48</v>
      </c>
      <c r="H18">
        <v>26.82</v>
      </c>
      <c r="I18">
        <v>0.24299999999999999</v>
      </c>
      <c r="J18">
        <v>818</v>
      </c>
      <c r="K18">
        <v>0</v>
      </c>
      <c r="L18">
        <v>18646</v>
      </c>
      <c r="M18">
        <v>12.99</v>
      </c>
      <c r="N18">
        <v>4.3499999999999943</v>
      </c>
      <c r="O18">
        <v>131.19</v>
      </c>
      <c r="P18">
        <v>0</v>
      </c>
      <c r="Q18">
        <v>0</v>
      </c>
      <c r="R18">
        <v>186.65</v>
      </c>
      <c r="S18">
        <v>221.05</v>
      </c>
      <c r="T18">
        <v>77.150000000000006</v>
      </c>
      <c r="U18">
        <v>188.65</v>
      </c>
      <c r="V18">
        <v>0</v>
      </c>
      <c r="W18">
        <v>0</v>
      </c>
      <c r="X18">
        <v>0</v>
      </c>
      <c r="Y18">
        <v>0</v>
      </c>
      <c r="Z18">
        <v>193</v>
      </c>
      <c r="AA18">
        <v>73600</v>
      </c>
      <c r="AB18">
        <v>815.1</v>
      </c>
      <c r="AC18">
        <v>0</v>
      </c>
      <c r="AD18">
        <v>0</v>
      </c>
      <c r="AE18">
        <v>0</v>
      </c>
      <c r="AF18">
        <v>0</v>
      </c>
      <c r="AG18">
        <v>1190.7</v>
      </c>
      <c r="AH18">
        <v>1435</v>
      </c>
      <c r="AI18">
        <v>815.1</v>
      </c>
      <c r="AJ18">
        <v>1018.5</v>
      </c>
      <c r="AK18">
        <v>0</v>
      </c>
      <c r="AL18">
        <v>0</v>
      </c>
      <c r="AM18">
        <v>973.93</v>
      </c>
      <c r="AN18">
        <v>-203.39999999999998</v>
      </c>
      <c r="AO18">
        <v>12.99</v>
      </c>
      <c r="AP18">
        <v>44</v>
      </c>
      <c r="AQ18">
        <v>0</v>
      </c>
      <c r="AR18">
        <v>38</v>
      </c>
      <c r="AS18">
        <v>-0.52800000000000002</v>
      </c>
      <c r="AT18">
        <v>26.82</v>
      </c>
      <c r="AU18">
        <v>-29.48</v>
      </c>
      <c r="AV18">
        <v>4.0000000000000002E-4</v>
      </c>
      <c r="AW18">
        <v>-0.69</v>
      </c>
    </row>
    <row r="19" spans="1:49" x14ac:dyDescent="0.25">
      <c r="A19" t="s">
        <v>21</v>
      </c>
      <c r="B19">
        <v>1981.85</v>
      </c>
      <c r="C19">
        <v>2449.4499999999998</v>
      </c>
      <c r="E19">
        <v>0.27</v>
      </c>
      <c r="F19">
        <v>2.9999999999999997E-4</v>
      </c>
      <c r="G19">
        <v>-26.65</v>
      </c>
      <c r="H19">
        <v>25.41</v>
      </c>
      <c r="I19">
        <v>0.217</v>
      </c>
      <c r="J19">
        <v>657</v>
      </c>
      <c r="K19">
        <v>0</v>
      </c>
      <c r="L19">
        <v>19288</v>
      </c>
      <c r="M19">
        <v>13.04</v>
      </c>
      <c r="N19">
        <v>7.5</v>
      </c>
      <c r="O19">
        <v>118.11</v>
      </c>
      <c r="P19">
        <v>0</v>
      </c>
      <c r="Q19">
        <v>0</v>
      </c>
      <c r="R19">
        <v>156.65</v>
      </c>
      <c r="S19">
        <v>193.05</v>
      </c>
      <c r="T19">
        <v>66.75</v>
      </c>
      <c r="U19">
        <v>158.30000000000001</v>
      </c>
      <c r="V19">
        <v>0</v>
      </c>
      <c r="W19">
        <v>0</v>
      </c>
      <c r="X19">
        <v>0</v>
      </c>
      <c r="Y19">
        <v>0</v>
      </c>
      <c r="Z19">
        <v>165.8</v>
      </c>
      <c r="AA19">
        <v>73700</v>
      </c>
      <c r="AB19">
        <v>895.7</v>
      </c>
      <c r="AC19">
        <v>0</v>
      </c>
      <c r="AD19">
        <v>0</v>
      </c>
      <c r="AE19">
        <v>0</v>
      </c>
      <c r="AF19">
        <v>0</v>
      </c>
      <c r="AG19">
        <v>1166.2</v>
      </c>
      <c r="AH19">
        <v>1376</v>
      </c>
      <c r="AI19">
        <v>889.25</v>
      </c>
      <c r="AJ19">
        <v>1095.3</v>
      </c>
      <c r="AK19">
        <v>0</v>
      </c>
      <c r="AL19">
        <v>0</v>
      </c>
      <c r="AM19">
        <v>992.29</v>
      </c>
      <c r="AN19">
        <v>-199.59999999999991</v>
      </c>
      <c r="AO19">
        <v>13.04</v>
      </c>
      <c r="AP19">
        <v>300</v>
      </c>
      <c r="AQ19">
        <v>0</v>
      </c>
      <c r="AR19">
        <v>271</v>
      </c>
      <c r="AS19">
        <v>-0.54800000000000004</v>
      </c>
      <c r="AT19">
        <v>25.41</v>
      </c>
      <c r="AU19">
        <v>-26.65</v>
      </c>
      <c r="AV19">
        <v>2.9999999999999997E-4</v>
      </c>
      <c r="AW19">
        <v>-0.73</v>
      </c>
    </row>
    <row r="20" spans="1:49" x14ac:dyDescent="0.25">
      <c r="A20" t="s">
        <v>22</v>
      </c>
      <c r="E20">
        <v>0.24</v>
      </c>
      <c r="F20">
        <v>2.9999999999999997E-4</v>
      </c>
      <c r="G20">
        <v>-24.27</v>
      </c>
      <c r="H20">
        <v>23.97</v>
      </c>
      <c r="I20">
        <v>0.19400000000000001</v>
      </c>
      <c r="J20">
        <v>978</v>
      </c>
      <c r="K20">
        <v>0</v>
      </c>
      <c r="L20">
        <v>20033</v>
      </c>
      <c r="M20">
        <v>13.22</v>
      </c>
      <c r="N20">
        <v>3.9499999999999886</v>
      </c>
      <c r="O20">
        <v>103.13</v>
      </c>
      <c r="P20">
        <v>0</v>
      </c>
      <c r="Q20">
        <v>0</v>
      </c>
      <c r="R20">
        <v>139.6</v>
      </c>
      <c r="S20">
        <v>166.4</v>
      </c>
      <c r="T20">
        <v>58.85</v>
      </c>
      <c r="U20">
        <v>141.05000000000001</v>
      </c>
      <c r="V20">
        <v>0</v>
      </c>
      <c r="W20">
        <v>0</v>
      </c>
      <c r="X20">
        <v>0</v>
      </c>
      <c r="Y20">
        <v>0</v>
      </c>
      <c r="Z20">
        <v>145</v>
      </c>
      <c r="AA20">
        <v>73800</v>
      </c>
      <c r="AB20">
        <v>966.3</v>
      </c>
      <c r="AC20">
        <v>0</v>
      </c>
      <c r="AD20">
        <v>0</v>
      </c>
      <c r="AE20">
        <v>0</v>
      </c>
      <c r="AF20">
        <v>0</v>
      </c>
      <c r="AG20">
        <v>1793.65</v>
      </c>
      <c r="AH20">
        <v>1793.65</v>
      </c>
      <c r="AI20">
        <v>966.3</v>
      </c>
      <c r="AJ20">
        <v>1174.55</v>
      </c>
      <c r="AK20">
        <v>0</v>
      </c>
      <c r="AL20">
        <v>0</v>
      </c>
      <c r="AM20">
        <v>1505.89</v>
      </c>
      <c r="AN20">
        <v>-208.25</v>
      </c>
      <c r="AO20">
        <v>13.22</v>
      </c>
      <c r="AP20">
        <v>186</v>
      </c>
      <c r="AQ20">
        <v>0</v>
      </c>
      <c r="AR20">
        <v>2</v>
      </c>
      <c r="AS20">
        <v>-0.56899999999999995</v>
      </c>
      <c r="AT20">
        <v>23.97</v>
      </c>
      <c r="AU20">
        <v>-24.27</v>
      </c>
      <c r="AV20">
        <v>2.9999999999999997E-4</v>
      </c>
      <c r="AW20">
        <v>-0.76</v>
      </c>
    </row>
    <row r="21" spans="1:49" x14ac:dyDescent="0.25">
      <c r="A21" t="s">
        <v>23</v>
      </c>
      <c r="E21">
        <v>0.21</v>
      </c>
      <c r="F21">
        <v>2.9999999999999997E-4</v>
      </c>
      <c r="G21">
        <v>-20.21</v>
      </c>
      <c r="H21">
        <v>22.15</v>
      </c>
      <c r="I21">
        <v>0.16800000000000001</v>
      </c>
      <c r="J21">
        <v>843</v>
      </c>
      <c r="K21">
        <v>0</v>
      </c>
      <c r="L21">
        <v>15406</v>
      </c>
      <c r="M21">
        <v>13.09</v>
      </c>
      <c r="N21">
        <v>4</v>
      </c>
      <c r="O21">
        <v>92.59</v>
      </c>
      <c r="P21">
        <v>0</v>
      </c>
      <c r="Q21">
        <v>0</v>
      </c>
      <c r="R21">
        <v>96.65</v>
      </c>
      <c r="S21">
        <v>142.85</v>
      </c>
      <c r="T21">
        <v>51.05</v>
      </c>
      <c r="U21">
        <v>115.5</v>
      </c>
      <c r="V21">
        <v>0</v>
      </c>
      <c r="W21">
        <v>0</v>
      </c>
      <c r="X21">
        <v>0</v>
      </c>
      <c r="Y21">
        <v>0</v>
      </c>
      <c r="Z21">
        <v>119.5</v>
      </c>
      <c r="AA21">
        <v>73900</v>
      </c>
      <c r="AB21">
        <v>1256</v>
      </c>
      <c r="AC21">
        <v>0</v>
      </c>
      <c r="AD21">
        <v>0</v>
      </c>
      <c r="AE21">
        <v>0</v>
      </c>
      <c r="AF21">
        <v>0</v>
      </c>
      <c r="AG21">
        <v>0</v>
      </c>
      <c r="AH21">
        <v>831.05</v>
      </c>
      <c r="AI21">
        <v>700.75</v>
      </c>
      <c r="AJ21">
        <v>1256</v>
      </c>
      <c r="AK21">
        <v>0</v>
      </c>
      <c r="AL21">
        <v>0</v>
      </c>
      <c r="AM21">
        <v>0</v>
      </c>
      <c r="AN21">
        <v>0</v>
      </c>
      <c r="AO21">
        <v>13.09</v>
      </c>
      <c r="AP21">
        <v>0</v>
      </c>
      <c r="AQ21">
        <v>0</v>
      </c>
      <c r="AR21">
        <v>1</v>
      </c>
      <c r="AS21">
        <v>-0.53800000000000003</v>
      </c>
      <c r="AT21">
        <v>22.15</v>
      </c>
      <c r="AU21">
        <v>-20.21</v>
      </c>
      <c r="AV21">
        <v>2.9999999999999997E-4</v>
      </c>
      <c r="AW21">
        <v>-0.79</v>
      </c>
    </row>
    <row r="22" spans="1:49" x14ac:dyDescent="0.25">
      <c r="A22" t="s">
        <v>24</v>
      </c>
      <c r="E22">
        <v>0.18</v>
      </c>
      <c r="F22">
        <v>2.9999999999999997E-4</v>
      </c>
      <c r="G22">
        <v>-16.7</v>
      </c>
      <c r="H22">
        <v>20.36</v>
      </c>
      <c r="I22">
        <v>0.14599999999999999</v>
      </c>
      <c r="J22">
        <v>5568</v>
      </c>
      <c r="K22">
        <v>0</v>
      </c>
      <c r="L22">
        <v>99686</v>
      </c>
      <c r="M22">
        <v>13.08</v>
      </c>
      <c r="N22">
        <v>3.3499999999999943</v>
      </c>
      <c r="O22">
        <v>76.459999999999994</v>
      </c>
      <c r="P22">
        <v>0</v>
      </c>
      <c r="Q22">
        <v>0</v>
      </c>
      <c r="R22">
        <v>95.65</v>
      </c>
      <c r="S22">
        <v>123</v>
      </c>
      <c r="T22">
        <v>43.5</v>
      </c>
      <c r="U22">
        <v>96.65</v>
      </c>
      <c r="V22">
        <v>0</v>
      </c>
      <c r="W22">
        <v>0</v>
      </c>
      <c r="X22">
        <v>0</v>
      </c>
      <c r="Y22">
        <v>0</v>
      </c>
      <c r="Z22">
        <v>100</v>
      </c>
      <c r="AA22">
        <v>74000</v>
      </c>
      <c r="AB22">
        <v>1112.95</v>
      </c>
      <c r="AC22">
        <v>0</v>
      </c>
      <c r="AD22">
        <v>0</v>
      </c>
      <c r="AE22">
        <v>0</v>
      </c>
      <c r="AF22">
        <v>0</v>
      </c>
      <c r="AG22">
        <v>1398</v>
      </c>
      <c r="AH22">
        <v>2031.35</v>
      </c>
      <c r="AI22">
        <v>1112.95</v>
      </c>
      <c r="AJ22">
        <v>1235.05</v>
      </c>
      <c r="AK22">
        <v>0</v>
      </c>
      <c r="AL22">
        <v>0</v>
      </c>
      <c r="AM22">
        <v>1528.71</v>
      </c>
      <c r="AN22">
        <v>-122.09999999999991</v>
      </c>
      <c r="AO22">
        <v>13.08</v>
      </c>
      <c r="AP22">
        <v>3352</v>
      </c>
      <c r="AQ22">
        <v>0</v>
      </c>
      <c r="AR22">
        <v>3031</v>
      </c>
      <c r="AS22">
        <v>-0.61</v>
      </c>
      <c r="AT22">
        <v>20.36</v>
      </c>
      <c r="AU22">
        <v>-16.7</v>
      </c>
      <c r="AV22">
        <v>2.9999999999999997E-4</v>
      </c>
      <c r="AW22">
        <v>-0.82</v>
      </c>
    </row>
    <row r="23" spans="1:49" x14ac:dyDescent="0.25">
      <c r="A23" t="s">
        <v>25</v>
      </c>
    </row>
    <row r="24" spans="1:49" x14ac:dyDescent="0.25">
      <c r="A24" t="s">
        <v>26</v>
      </c>
    </row>
    <row r="25" spans="1:49" x14ac:dyDescent="0.25">
      <c r="A25" t="s">
        <v>27</v>
      </c>
    </row>
    <row r="26" spans="1:49" x14ac:dyDescent="0.25">
      <c r="A26" t="s">
        <v>28</v>
      </c>
      <c r="B26">
        <v>991213</v>
      </c>
      <c r="C26">
        <v>942172</v>
      </c>
    </row>
    <row r="27" spans="1:49" x14ac:dyDescent="0.25">
      <c r="A27" t="s">
        <v>29</v>
      </c>
      <c r="B27">
        <v>74000</v>
      </c>
      <c r="C27">
        <v>72000</v>
      </c>
    </row>
    <row r="28" spans="1:49" x14ac:dyDescent="0.25">
      <c r="A28" t="s">
        <v>30</v>
      </c>
      <c r="B28">
        <v>100</v>
      </c>
      <c r="C28">
        <v>153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3A2CB-170F-4EB1-A053-3D11C7BE1B07}">
  <dimension ref="A1:AW28"/>
  <sheetViews>
    <sheetView workbookViewId="0"/>
  </sheetViews>
  <sheetFormatPr defaultRowHeight="15" x14ac:dyDescent="0.25"/>
  <sheetData>
    <row r="1" spans="1:49" x14ac:dyDescent="0.25">
      <c r="A1" t="s">
        <v>0</v>
      </c>
      <c r="B1" t="s">
        <v>1</v>
      </c>
      <c r="C1" t="s">
        <v>2</v>
      </c>
      <c r="E1" t="s">
        <v>31</v>
      </c>
      <c r="F1" t="s">
        <v>32</v>
      </c>
      <c r="G1" t="s">
        <v>33</v>
      </c>
      <c r="H1" t="s">
        <v>34</v>
      </c>
      <c r="I1" t="s">
        <v>35</v>
      </c>
      <c r="J1" t="s">
        <v>36</v>
      </c>
      <c r="K1" t="s">
        <v>37</v>
      </c>
      <c r="L1" t="s">
        <v>38</v>
      </c>
      <c r="M1" t="s">
        <v>39</v>
      </c>
      <c r="N1" t="s">
        <v>40</v>
      </c>
      <c r="O1" t="s">
        <v>41</v>
      </c>
      <c r="P1" t="s">
        <v>42</v>
      </c>
      <c r="Q1" t="s">
        <v>43</v>
      </c>
      <c r="R1" t="s">
        <v>44</v>
      </c>
      <c r="S1" t="s">
        <v>45</v>
      </c>
      <c r="T1" t="s">
        <v>46</v>
      </c>
      <c r="U1" t="s">
        <v>47</v>
      </c>
      <c r="V1" t="s">
        <v>48</v>
      </c>
      <c r="W1" t="s">
        <v>49</v>
      </c>
      <c r="X1" t="s">
        <v>50</v>
      </c>
      <c r="Y1" t="s">
        <v>51</v>
      </c>
      <c r="Z1" t="s">
        <v>52</v>
      </c>
      <c r="AA1" t="s">
        <v>53</v>
      </c>
      <c r="AB1" t="s">
        <v>54</v>
      </c>
      <c r="AC1" t="s">
        <v>55</v>
      </c>
      <c r="AD1" t="s">
        <v>56</v>
      </c>
      <c r="AE1" t="s">
        <v>57</v>
      </c>
      <c r="AF1" t="s">
        <v>58</v>
      </c>
      <c r="AG1" t="s">
        <v>59</v>
      </c>
      <c r="AH1" t="s">
        <v>60</v>
      </c>
      <c r="AI1" t="s">
        <v>61</v>
      </c>
      <c r="AJ1" t="s">
        <v>62</v>
      </c>
      <c r="AK1" t="s">
        <v>63</v>
      </c>
      <c r="AL1" t="s">
        <v>64</v>
      </c>
      <c r="AM1" t="s">
        <v>65</v>
      </c>
      <c r="AN1" t="s">
        <v>66</v>
      </c>
      <c r="AO1" t="s">
        <v>67</v>
      </c>
      <c r="AP1" t="s">
        <v>68</v>
      </c>
      <c r="AQ1" t="s">
        <v>69</v>
      </c>
      <c r="AR1" t="s">
        <v>70</v>
      </c>
      <c r="AS1" t="s">
        <v>71</v>
      </c>
      <c r="AT1" t="s">
        <v>72</v>
      </c>
      <c r="AU1" t="s">
        <v>73</v>
      </c>
      <c r="AV1" t="s">
        <v>74</v>
      </c>
      <c r="AW1" t="s">
        <v>75</v>
      </c>
    </row>
    <row r="2" spans="1:49" x14ac:dyDescent="0.25">
      <c r="A2" t="s">
        <v>3</v>
      </c>
      <c r="B2" t="s">
        <v>142</v>
      </c>
      <c r="E2">
        <v>0.96</v>
      </c>
      <c r="F2">
        <v>4.0000000000000002E-4</v>
      </c>
      <c r="G2">
        <v>-9.4700000000000006</v>
      </c>
      <c r="H2">
        <v>0.93</v>
      </c>
      <c r="I2">
        <v>4.8000000000000001E-2</v>
      </c>
      <c r="J2">
        <v>365</v>
      </c>
      <c r="K2">
        <v>0</v>
      </c>
      <c r="L2">
        <v>19063</v>
      </c>
      <c r="M2">
        <v>36.700000000000003</v>
      </c>
      <c r="N2">
        <v>153.5</v>
      </c>
      <c r="O2">
        <v>206.53</v>
      </c>
      <c r="P2">
        <v>3200</v>
      </c>
      <c r="Q2">
        <v>4040</v>
      </c>
      <c r="R2">
        <v>255.95</v>
      </c>
      <c r="S2">
        <v>449.1</v>
      </c>
      <c r="T2">
        <v>144.30000000000001</v>
      </c>
      <c r="U2">
        <v>285.5</v>
      </c>
      <c r="V2">
        <v>160</v>
      </c>
      <c r="W2">
        <v>437.75</v>
      </c>
      <c r="X2">
        <v>444.85</v>
      </c>
      <c r="Y2">
        <v>40</v>
      </c>
      <c r="Z2">
        <v>439</v>
      </c>
      <c r="AA2">
        <v>20850</v>
      </c>
      <c r="AB2">
        <v>3.6</v>
      </c>
      <c r="AC2">
        <v>40</v>
      </c>
      <c r="AD2">
        <v>3.5</v>
      </c>
      <c r="AE2">
        <v>3.6</v>
      </c>
      <c r="AF2">
        <v>600</v>
      </c>
      <c r="AG2">
        <v>33.450000000000003</v>
      </c>
      <c r="AH2">
        <v>66.400000000000006</v>
      </c>
      <c r="AI2">
        <v>3.3</v>
      </c>
      <c r="AJ2">
        <v>30.6</v>
      </c>
      <c r="AK2">
        <v>179280</v>
      </c>
      <c r="AL2">
        <v>118200</v>
      </c>
      <c r="AM2">
        <v>23.12</v>
      </c>
      <c r="AN2">
        <v>-27</v>
      </c>
      <c r="AO2">
        <v>20.88</v>
      </c>
      <c r="AP2">
        <v>706554</v>
      </c>
      <c r="AQ2">
        <v>0</v>
      </c>
      <c r="AR2">
        <v>26095</v>
      </c>
      <c r="AS2">
        <v>-2E-3</v>
      </c>
      <c r="AT2">
        <v>0.93</v>
      </c>
      <c r="AU2">
        <v>-9.4700000000000006</v>
      </c>
      <c r="AV2">
        <v>4.0000000000000002E-4</v>
      </c>
      <c r="AW2">
        <v>-0.04</v>
      </c>
    </row>
    <row r="3" spans="1:49" x14ac:dyDescent="0.25">
      <c r="A3" t="s">
        <v>5</v>
      </c>
      <c r="B3" s="1">
        <v>45426</v>
      </c>
      <c r="E3">
        <v>0.95</v>
      </c>
      <c r="F3">
        <v>5.0000000000000001E-4</v>
      </c>
      <c r="G3">
        <v>-10.09</v>
      </c>
      <c r="H3">
        <v>1.08</v>
      </c>
      <c r="I3">
        <v>4.7E-2</v>
      </c>
      <c r="J3">
        <v>2050</v>
      </c>
      <c r="K3">
        <v>0</v>
      </c>
      <c r="L3">
        <v>112353</v>
      </c>
      <c r="M3">
        <v>34.71</v>
      </c>
      <c r="N3">
        <v>154.25</v>
      </c>
      <c r="O3">
        <v>171.88</v>
      </c>
      <c r="P3">
        <v>15520</v>
      </c>
      <c r="Q3">
        <v>3760</v>
      </c>
      <c r="R3">
        <v>242.9</v>
      </c>
      <c r="S3">
        <v>402.2</v>
      </c>
      <c r="T3">
        <v>112.9</v>
      </c>
      <c r="U3">
        <v>237.75</v>
      </c>
      <c r="V3">
        <v>40</v>
      </c>
      <c r="W3">
        <v>389.15</v>
      </c>
      <c r="X3">
        <v>393.85</v>
      </c>
      <c r="Y3">
        <v>80</v>
      </c>
      <c r="Z3">
        <v>392</v>
      </c>
      <c r="AA3">
        <v>20900</v>
      </c>
      <c r="AB3">
        <v>4.0999999999999996</v>
      </c>
      <c r="AC3">
        <v>3040</v>
      </c>
      <c r="AD3">
        <v>4.0999999999999996</v>
      </c>
      <c r="AE3">
        <v>4.5</v>
      </c>
      <c r="AF3">
        <v>160</v>
      </c>
      <c r="AG3">
        <v>42</v>
      </c>
      <c r="AH3">
        <v>83.5</v>
      </c>
      <c r="AI3">
        <v>4.0999999999999996</v>
      </c>
      <c r="AJ3">
        <v>40.65</v>
      </c>
      <c r="AK3">
        <v>419920</v>
      </c>
      <c r="AL3">
        <v>176720</v>
      </c>
      <c r="AM3">
        <v>33.700000000000003</v>
      </c>
      <c r="AN3">
        <v>-36.549999999999997</v>
      </c>
      <c r="AO3">
        <v>19.22</v>
      </c>
      <c r="AP3">
        <v>1129937</v>
      </c>
      <c r="AQ3">
        <v>0</v>
      </c>
      <c r="AR3">
        <v>37821</v>
      </c>
      <c r="AS3">
        <v>-3.0000000000000001E-3</v>
      </c>
      <c r="AT3">
        <v>1.08</v>
      </c>
      <c r="AU3">
        <v>-10.09</v>
      </c>
      <c r="AV3">
        <v>5.0000000000000001E-4</v>
      </c>
      <c r="AW3">
        <v>-0.05</v>
      </c>
    </row>
    <row r="4" spans="1:49" x14ac:dyDescent="0.25">
      <c r="A4" t="s">
        <v>6</v>
      </c>
      <c r="B4" s="2" t="s">
        <v>147</v>
      </c>
      <c r="E4">
        <v>0.93</v>
      </c>
      <c r="F4">
        <v>5.9999999999999995E-4</v>
      </c>
      <c r="G4">
        <v>-13.94</v>
      </c>
      <c r="H4">
        <v>1.52</v>
      </c>
      <c r="I4">
        <v>4.5999999999999999E-2</v>
      </c>
      <c r="J4">
        <v>2340</v>
      </c>
      <c r="K4">
        <v>0</v>
      </c>
      <c r="L4">
        <v>222914</v>
      </c>
      <c r="M4">
        <v>32.19</v>
      </c>
      <c r="N4">
        <v>138.75</v>
      </c>
      <c r="O4">
        <v>133.87</v>
      </c>
      <c r="P4">
        <v>6040</v>
      </c>
      <c r="Q4">
        <v>1160</v>
      </c>
      <c r="R4">
        <v>220.6</v>
      </c>
      <c r="S4">
        <v>354.8</v>
      </c>
      <c r="T4">
        <v>86.15</v>
      </c>
      <c r="U4">
        <v>205.2</v>
      </c>
      <c r="V4">
        <v>40</v>
      </c>
      <c r="W4">
        <v>341.8</v>
      </c>
      <c r="X4">
        <v>345.35</v>
      </c>
      <c r="Y4">
        <v>40</v>
      </c>
      <c r="Z4">
        <v>343.95</v>
      </c>
      <c r="AA4">
        <v>20950</v>
      </c>
      <c r="AB4">
        <v>6.7</v>
      </c>
      <c r="AC4">
        <v>80</v>
      </c>
      <c r="AD4">
        <v>6.05</v>
      </c>
      <c r="AE4">
        <v>6.7</v>
      </c>
      <c r="AF4">
        <v>1520</v>
      </c>
      <c r="AG4">
        <v>51.65</v>
      </c>
      <c r="AH4">
        <v>105.9</v>
      </c>
      <c r="AI4">
        <v>5.75</v>
      </c>
      <c r="AJ4">
        <v>53</v>
      </c>
      <c r="AK4">
        <v>303760</v>
      </c>
      <c r="AL4">
        <v>248840</v>
      </c>
      <c r="AM4">
        <v>44.69</v>
      </c>
      <c r="AN4">
        <v>-46.3</v>
      </c>
      <c r="AO4">
        <v>18.940000000000001</v>
      </c>
      <c r="AP4">
        <v>976878</v>
      </c>
      <c r="AQ4">
        <v>0</v>
      </c>
      <c r="AR4">
        <v>27275</v>
      </c>
      <c r="AS4">
        <v>-4.0000000000000001E-3</v>
      </c>
      <c r="AT4">
        <v>1.52</v>
      </c>
      <c r="AU4">
        <v>-13.94</v>
      </c>
      <c r="AV4">
        <v>5.9999999999999995E-4</v>
      </c>
      <c r="AW4">
        <v>-7.0000000000000007E-2</v>
      </c>
    </row>
    <row r="5" spans="1:49" x14ac:dyDescent="0.25">
      <c r="A5" t="s">
        <v>7</v>
      </c>
      <c r="B5">
        <v>21249.8</v>
      </c>
      <c r="C5">
        <v>21368.95</v>
      </c>
      <c r="E5">
        <v>0.91</v>
      </c>
      <c r="F5">
        <v>8.0000000000000004E-4</v>
      </c>
      <c r="G5">
        <v>-15.36</v>
      </c>
      <c r="H5">
        <v>1.83</v>
      </c>
      <c r="I5">
        <v>4.4999999999999998E-2</v>
      </c>
      <c r="J5">
        <v>7943</v>
      </c>
      <c r="K5">
        <v>0</v>
      </c>
      <c r="L5">
        <v>828781</v>
      </c>
      <c r="M5">
        <v>29.45</v>
      </c>
      <c r="N5">
        <v>125.35</v>
      </c>
      <c r="O5">
        <v>118.68</v>
      </c>
      <c r="P5">
        <v>21680</v>
      </c>
      <c r="Q5">
        <v>5000</v>
      </c>
      <c r="R5">
        <v>174.65</v>
      </c>
      <c r="S5">
        <v>309.14999999999998</v>
      </c>
      <c r="T5">
        <v>63.85</v>
      </c>
      <c r="U5">
        <v>170.4</v>
      </c>
      <c r="V5">
        <v>40</v>
      </c>
      <c r="W5">
        <v>295</v>
      </c>
      <c r="X5">
        <v>295.75</v>
      </c>
      <c r="Y5">
        <v>40</v>
      </c>
      <c r="Z5">
        <v>295.75</v>
      </c>
      <c r="AA5">
        <v>21000</v>
      </c>
      <c r="AB5">
        <v>8.25</v>
      </c>
      <c r="AC5">
        <v>40</v>
      </c>
      <c r="AD5">
        <v>8.25</v>
      </c>
      <c r="AE5">
        <v>8.3000000000000007</v>
      </c>
      <c r="AF5">
        <v>320</v>
      </c>
      <c r="AG5">
        <v>68.75</v>
      </c>
      <c r="AH5">
        <v>131.94999999999999</v>
      </c>
      <c r="AI5">
        <v>8</v>
      </c>
      <c r="AJ5">
        <v>68.75</v>
      </c>
      <c r="AK5">
        <v>367520</v>
      </c>
      <c r="AL5">
        <v>254000</v>
      </c>
      <c r="AM5">
        <v>53.83</v>
      </c>
      <c r="AN5">
        <v>-60.5</v>
      </c>
      <c r="AO5">
        <v>17.399999999999999</v>
      </c>
      <c r="AP5">
        <v>1644718</v>
      </c>
      <c r="AQ5">
        <v>0</v>
      </c>
      <c r="AR5">
        <v>46916</v>
      </c>
      <c r="AS5">
        <v>-5.0000000000000001E-3</v>
      </c>
      <c r="AT5">
        <v>1.83</v>
      </c>
      <c r="AU5">
        <v>-15.36</v>
      </c>
      <c r="AV5">
        <v>8.0000000000000004E-4</v>
      </c>
      <c r="AW5">
        <v>-0.09</v>
      </c>
    </row>
    <row r="6" spans="1:49" x14ac:dyDescent="0.25">
      <c r="A6" t="s">
        <v>8</v>
      </c>
      <c r="B6">
        <v>21062.7</v>
      </c>
      <c r="C6">
        <v>21163.85</v>
      </c>
      <c r="E6">
        <v>0.87</v>
      </c>
      <c r="F6">
        <v>1.1000000000000001E-3</v>
      </c>
      <c r="G6">
        <v>-18.13</v>
      </c>
      <c r="H6">
        <v>2.31</v>
      </c>
      <c r="I6">
        <v>4.2999999999999997E-2</v>
      </c>
      <c r="J6">
        <v>5309</v>
      </c>
      <c r="K6">
        <v>0</v>
      </c>
      <c r="L6">
        <v>689179</v>
      </c>
      <c r="M6">
        <v>26.76</v>
      </c>
      <c r="N6">
        <v>109.15</v>
      </c>
      <c r="O6">
        <v>95.5</v>
      </c>
      <c r="P6">
        <v>9600</v>
      </c>
      <c r="Q6">
        <v>3240</v>
      </c>
      <c r="R6">
        <v>138.6</v>
      </c>
      <c r="S6">
        <v>264.35000000000002</v>
      </c>
      <c r="T6">
        <v>46.1</v>
      </c>
      <c r="U6">
        <v>139.15</v>
      </c>
      <c r="V6">
        <v>400</v>
      </c>
      <c r="W6">
        <v>195.1</v>
      </c>
      <c r="X6">
        <v>258.95</v>
      </c>
      <c r="Y6">
        <v>1440</v>
      </c>
      <c r="Z6">
        <v>248.3</v>
      </c>
      <c r="AA6">
        <v>21050</v>
      </c>
      <c r="AB6">
        <v>11.5</v>
      </c>
      <c r="AC6">
        <v>2000</v>
      </c>
      <c r="AD6">
        <v>10.8</v>
      </c>
      <c r="AE6">
        <v>11.5</v>
      </c>
      <c r="AF6">
        <v>120</v>
      </c>
      <c r="AG6">
        <v>86.3</v>
      </c>
      <c r="AH6">
        <v>163.35</v>
      </c>
      <c r="AI6">
        <v>10.8</v>
      </c>
      <c r="AJ6">
        <v>87.9</v>
      </c>
      <c r="AK6">
        <v>299240</v>
      </c>
      <c r="AL6">
        <v>80480</v>
      </c>
      <c r="AM6">
        <v>61.32</v>
      </c>
      <c r="AN6">
        <v>-76.400000000000006</v>
      </c>
      <c r="AO6">
        <v>16.32</v>
      </c>
      <c r="AP6">
        <v>878844</v>
      </c>
      <c r="AQ6">
        <v>0</v>
      </c>
      <c r="AR6">
        <v>22386</v>
      </c>
      <c r="AS6">
        <v>-7.0000000000000001E-3</v>
      </c>
      <c r="AT6">
        <v>2.31</v>
      </c>
      <c r="AU6">
        <v>-18.13</v>
      </c>
      <c r="AV6">
        <v>1.1000000000000001E-3</v>
      </c>
      <c r="AW6">
        <v>-0.13</v>
      </c>
    </row>
    <row r="7" spans="1:49" x14ac:dyDescent="0.25">
      <c r="A7" t="s">
        <v>9</v>
      </c>
      <c r="B7">
        <v>21288.55</v>
      </c>
      <c r="C7">
        <v>21388.75</v>
      </c>
      <c r="E7">
        <v>0.83</v>
      </c>
      <c r="F7">
        <v>1.5E-3</v>
      </c>
      <c r="G7">
        <v>-20.04</v>
      </c>
      <c r="H7">
        <v>2.83</v>
      </c>
      <c r="I7">
        <v>4.2000000000000003E-2</v>
      </c>
      <c r="J7">
        <v>10821</v>
      </c>
      <c r="K7">
        <v>0</v>
      </c>
      <c r="L7">
        <v>1130516</v>
      </c>
      <c r="M7">
        <v>23.62</v>
      </c>
      <c r="N7">
        <v>87.5</v>
      </c>
      <c r="O7">
        <v>83.9</v>
      </c>
      <c r="P7">
        <v>36760</v>
      </c>
      <c r="Q7">
        <v>7320</v>
      </c>
      <c r="R7">
        <v>98.05</v>
      </c>
      <c r="S7">
        <v>220</v>
      </c>
      <c r="T7">
        <v>32.700000000000003</v>
      </c>
      <c r="U7">
        <v>112.65</v>
      </c>
      <c r="V7">
        <v>40</v>
      </c>
      <c r="W7">
        <v>200.55</v>
      </c>
      <c r="X7">
        <v>205.15</v>
      </c>
      <c r="Y7">
        <v>40</v>
      </c>
      <c r="Z7">
        <v>200.15</v>
      </c>
      <c r="AA7">
        <v>21100</v>
      </c>
      <c r="AB7">
        <v>15.25</v>
      </c>
      <c r="AC7">
        <v>120</v>
      </c>
      <c r="AD7">
        <v>15.25</v>
      </c>
      <c r="AE7">
        <v>16.3</v>
      </c>
      <c r="AF7">
        <v>1000</v>
      </c>
      <c r="AG7">
        <v>110.05</v>
      </c>
      <c r="AH7">
        <v>198.8</v>
      </c>
      <c r="AI7">
        <v>15.25</v>
      </c>
      <c r="AJ7">
        <v>110.05</v>
      </c>
      <c r="AK7">
        <v>267120</v>
      </c>
      <c r="AL7">
        <v>106560</v>
      </c>
      <c r="AM7">
        <v>70.150000000000006</v>
      </c>
      <c r="AN7">
        <v>-94.8</v>
      </c>
      <c r="AO7">
        <v>14.87</v>
      </c>
      <c r="AP7">
        <v>1046422</v>
      </c>
      <c r="AQ7">
        <v>0</v>
      </c>
      <c r="AR7">
        <v>36057</v>
      </c>
      <c r="AS7">
        <v>-0.01</v>
      </c>
      <c r="AT7">
        <v>2.83</v>
      </c>
      <c r="AU7">
        <v>-20.04</v>
      </c>
      <c r="AV7">
        <v>1.5E-3</v>
      </c>
      <c r="AW7">
        <v>-0.17</v>
      </c>
    </row>
    <row r="8" spans="1:49" x14ac:dyDescent="0.25">
      <c r="A8" t="s">
        <v>10</v>
      </c>
      <c r="B8">
        <v>20934.400000000001</v>
      </c>
      <c r="C8">
        <v>21030</v>
      </c>
      <c r="E8">
        <v>0.76</v>
      </c>
      <c r="F8">
        <v>2E-3</v>
      </c>
      <c r="G8">
        <v>-22.68</v>
      </c>
      <c r="H8">
        <v>3.49</v>
      </c>
      <c r="I8">
        <v>3.9E-2</v>
      </c>
      <c r="J8">
        <v>5445</v>
      </c>
      <c r="K8">
        <v>0</v>
      </c>
      <c r="L8">
        <v>897503</v>
      </c>
      <c r="M8">
        <v>21.75</v>
      </c>
      <c r="N8">
        <v>68.7</v>
      </c>
      <c r="O8">
        <v>68.680000000000007</v>
      </c>
      <c r="P8">
        <v>21720</v>
      </c>
      <c r="Q8">
        <v>5640</v>
      </c>
      <c r="R8">
        <v>86</v>
      </c>
      <c r="S8">
        <v>180.05</v>
      </c>
      <c r="T8">
        <v>23.15</v>
      </c>
      <c r="U8">
        <v>89.45</v>
      </c>
      <c r="V8">
        <v>280</v>
      </c>
      <c r="W8">
        <v>159.1</v>
      </c>
      <c r="X8">
        <v>161.9</v>
      </c>
      <c r="Y8">
        <v>280</v>
      </c>
      <c r="Z8">
        <v>158.15</v>
      </c>
      <c r="AA8">
        <v>21150</v>
      </c>
      <c r="AB8">
        <v>22.3</v>
      </c>
      <c r="AC8">
        <v>1800</v>
      </c>
      <c r="AD8">
        <v>22.2</v>
      </c>
      <c r="AE8">
        <v>23.55</v>
      </c>
      <c r="AF8">
        <v>1000</v>
      </c>
      <c r="AG8">
        <v>142</v>
      </c>
      <c r="AH8">
        <v>236.3</v>
      </c>
      <c r="AI8">
        <v>22.3</v>
      </c>
      <c r="AJ8">
        <v>135.69999999999999</v>
      </c>
      <c r="AK8">
        <v>60000</v>
      </c>
      <c r="AL8">
        <v>62680</v>
      </c>
      <c r="AM8">
        <v>73.75</v>
      </c>
      <c r="AN8">
        <v>-113.39999999999999</v>
      </c>
      <c r="AO8">
        <v>13.81</v>
      </c>
      <c r="AP8">
        <v>572350</v>
      </c>
      <c r="AQ8">
        <v>0</v>
      </c>
      <c r="AR8">
        <v>18626</v>
      </c>
      <c r="AS8">
        <v>-1.4E-2</v>
      </c>
      <c r="AT8">
        <v>3.49</v>
      </c>
      <c r="AU8">
        <v>-22.68</v>
      </c>
      <c r="AV8">
        <v>2E-3</v>
      </c>
      <c r="AW8">
        <v>-0.24</v>
      </c>
    </row>
    <row r="9" spans="1:49" x14ac:dyDescent="0.25">
      <c r="A9" t="s">
        <v>11</v>
      </c>
      <c r="B9">
        <v>21094.15</v>
      </c>
      <c r="C9">
        <v>21175.75</v>
      </c>
      <c r="E9">
        <v>0.65</v>
      </c>
      <c r="F9">
        <v>2.5999999999999999E-3</v>
      </c>
      <c r="G9">
        <v>-24.69</v>
      </c>
      <c r="H9">
        <v>4.1100000000000003</v>
      </c>
      <c r="I9">
        <v>3.5000000000000003E-2</v>
      </c>
      <c r="J9">
        <v>24831</v>
      </c>
      <c r="K9">
        <v>0</v>
      </c>
      <c r="L9">
        <v>1359821</v>
      </c>
      <c r="M9">
        <v>20.12</v>
      </c>
      <c r="N9">
        <v>49.55</v>
      </c>
      <c r="O9">
        <v>59.28</v>
      </c>
      <c r="P9">
        <v>113440</v>
      </c>
      <c r="Q9">
        <v>39400</v>
      </c>
      <c r="R9">
        <v>76.150000000000006</v>
      </c>
      <c r="S9">
        <v>142.75</v>
      </c>
      <c r="T9">
        <v>16.399999999999999</v>
      </c>
      <c r="U9">
        <v>70.150000000000006</v>
      </c>
      <c r="V9">
        <v>320</v>
      </c>
      <c r="W9">
        <v>120</v>
      </c>
      <c r="X9">
        <v>122</v>
      </c>
      <c r="Y9">
        <v>3280</v>
      </c>
      <c r="Z9">
        <v>119.7</v>
      </c>
      <c r="AA9">
        <v>21200</v>
      </c>
      <c r="AB9">
        <v>34</v>
      </c>
      <c r="AC9">
        <v>920</v>
      </c>
      <c r="AD9">
        <v>33.5</v>
      </c>
      <c r="AE9">
        <v>34</v>
      </c>
      <c r="AF9">
        <v>28320</v>
      </c>
      <c r="AG9">
        <v>166.75</v>
      </c>
      <c r="AH9">
        <v>279.3</v>
      </c>
      <c r="AI9">
        <v>33</v>
      </c>
      <c r="AJ9">
        <v>166.75</v>
      </c>
      <c r="AK9">
        <v>63160</v>
      </c>
      <c r="AL9">
        <v>137920</v>
      </c>
      <c r="AM9">
        <v>74.180000000000007</v>
      </c>
      <c r="AN9">
        <v>-132.75</v>
      </c>
      <c r="AO9">
        <v>12.99</v>
      </c>
      <c r="AP9">
        <v>656799</v>
      </c>
      <c r="AQ9">
        <v>0</v>
      </c>
      <c r="AR9">
        <v>44465</v>
      </c>
      <c r="AS9">
        <v>-0.02</v>
      </c>
      <c r="AT9">
        <v>4.1100000000000003</v>
      </c>
      <c r="AU9">
        <v>-24.69</v>
      </c>
      <c r="AV9">
        <v>2.5999999999999999E-3</v>
      </c>
      <c r="AW9">
        <v>-0.35</v>
      </c>
    </row>
    <row r="10" spans="1:49" x14ac:dyDescent="0.25">
      <c r="A10" t="s">
        <v>12</v>
      </c>
      <c r="B10">
        <v>1551</v>
      </c>
      <c r="E10">
        <v>0.52</v>
      </c>
      <c r="F10">
        <v>3.0000000000000001E-3</v>
      </c>
      <c r="G10">
        <v>-24.04</v>
      </c>
      <c r="H10">
        <v>4.43</v>
      </c>
      <c r="I10">
        <v>0.03</v>
      </c>
      <c r="J10">
        <v>20626</v>
      </c>
      <c r="K10">
        <v>0</v>
      </c>
      <c r="L10">
        <v>1156066</v>
      </c>
      <c r="M10">
        <v>19.059999999999999</v>
      </c>
      <c r="N10">
        <v>33.050000000000004</v>
      </c>
      <c r="O10">
        <v>52.08</v>
      </c>
      <c r="P10">
        <v>119320</v>
      </c>
      <c r="Q10">
        <v>61080</v>
      </c>
      <c r="R10">
        <v>50.3</v>
      </c>
      <c r="S10">
        <v>110.3</v>
      </c>
      <c r="T10">
        <v>11.35</v>
      </c>
      <c r="U10">
        <v>54.35</v>
      </c>
      <c r="V10">
        <v>400</v>
      </c>
      <c r="W10">
        <v>86.55</v>
      </c>
      <c r="X10">
        <v>87.4</v>
      </c>
      <c r="Y10">
        <v>1920</v>
      </c>
      <c r="Z10">
        <v>87.4</v>
      </c>
      <c r="AA10">
        <v>21250</v>
      </c>
      <c r="AB10">
        <v>51</v>
      </c>
      <c r="AC10">
        <v>80</v>
      </c>
      <c r="AD10">
        <v>49.25</v>
      </c>
      <c r="AE10">
        <v>50.6</v>
      </c>
      <c r="AF10">
        <v>1000</v>
      </c>
      <c r="AG10">
        <v>202.6</v>
      </c>
      <c r="AH10">
        <v>323.55</v>
      </c>
      <c r="AI10">
        <v>48.95</v>
      </c>
      <c r="AJ10">
        <v>202.6</v>
      </c>
      <c r="AK10">
        <v>47000</v>
      </c>
      <c r="AL10">
        <v>71120</v>
      </c>
      <c r="AM10">
        <v>79.989999999999995</v>
      </c>
      <c r="AN10">
        <v>-151.6</v>
      </c>
      <c r="AO10">
        <v>12.12</v>
      </c>
      <c r="AP10">
        <v>411293</v>
      </c>
      <c r="AQ10">
        <v>0</v>
      </c>
      <c r="AR10">
        <v>25211</v>
      </c>
      <c r="AS10">
        <v>-2.8000000000000001E-2</v>
      </c>
      <c r="AT10">
        <v>4.43</v>
      </c>
      <c r="AU10">
        <v>-24.04</v>
      </c>
      <c r="AV10">
        <v>3.0000000000000001E-3</v>
      </c>
      <c r="AW10">
        <v>-0.48</v>
      </c>
    </row>
    <row r="11" spans="1:49" x14ac:dyDescent="0.25">
      <c r="A11" t="s">
        <v>13</v>
      </c>
      <c r="B11">
        <v>21800</v>
      </c>
      <c r="E11">
        <v>0.36</v>
      </c>
      <c r="F11">
        <v>3.0000000000000001E-3</v>
      </c>
      <c r="G11">
        <v>-19.91</v>
      </c>
      <c r="H11">
        <v>4.18</v>
      </c>
      <c r="I11">
        <v>2.4E-2</v>
      </c>
      <c r="J11">
        <v>41827</v>
      </c>
      <c r="K11">
        <v>0</v>
      </c>
      <c r="L11">
        <v>1642312</v>
      </c>
      <c r="M11">
        <v>18.52</v>
      </c>
      <c r="N11">
        <v>20.350000000000001</v>
      </c>
      <c r="O11">
        <v>36.200000000000003</v>
      </c>
      <c r="P11">
        <v>290960</v>
      </c>
      <c r="Q11">
        <v>129200</v>
      </c>
      <c r="R11">
        <v>40</v>
      </c>
      <c r="S11">
        <v>82.8</v>
      </c>
      <c r="T11">
        <v>7.9</v>
      </c>
      <c r="U11">
        <v>41.65</v>
      </c>
      <c r="V11">
        <v>320</v>
      </c>
      <c r="W11">
        <v>61.95</v>
      </c>
      <c r="X11">
        <v>62</v>
      </c>
      <c r="Y11">
        <v>720</v>
      </c>
      <c r="Z11">
        <v>62</v>
      </c>
      <c r="AA11">
        <v>21300</v>
      </c>
      <c r="AB11">
        <v>75.55</v>
      </c>
      <c r="AC11">
        <v>880</v>
      </c>
      <c r="AD11">
        <v>73.099999999999994</v>
      </c>
      <c r="AE11">
        <v>74.25</v>
      </c>
      <c r="AF11">
        <v>440</v>
      </c>
      <c r="AG11">
        <v>240.95</v>
      </c>
      <c r="AH11">
        <v>371.1</v>
      </c>
      <c r="AI11">
        <v>72</v>
      </c>
      <c r="AJ11">
        <v>240.95</v>
      </c>
      <c r="AK11">
        <v>76920</v>
      </c>
      <c r="AL11">
        <v>48240</v>
      </c>
      <c r="AM11">
        <v>111.14</v>
      </c>
      <c r="AN11">
        <v>-165.39999999999998</v>
      </c>
      <c r="AO11">
        <v>11.32</v>
      </c>
      <c r="AP11">
        <v>271089</v>
      </c>
      <c r="AQ11">
        <v>0</v>
      </c>
      <c r="AR11">
        <v>19580</v>
      </c>
      <c r="AS11">
        <v>-3.6999999999999998E-2</v>
      </c>
      <c r="AT11">
        <v>4.18</v>
      </c>
      <c r="AU11">
        <v>-19.91</v>
      </c>
      <c r="AV11">
        <v>3.0000000000000001E-3</v>
      </c>
      <c r="AW11">
        <v>-0.64</v>
      </c>
    </row>
    <row r="12" spans="1:49" x14ac:dyDescent="0.25">
      <c r="A12" t="s">
        <v>14</v>
      </c>
      <c r="B12">
        <v>0.85</v>
      </c>
      <c r="C12">
        <v>515.95000000000005</v>
      </c>
      <c r="E12">
        <v>0.33</v>
      </c>
      <c r="F12">
        <v>1.8E-3</v>
      </c>
      <c r="G12">
        <v>-33.01</v>
      </c>
      <c r="H12">
        <v>4</v>
      </c>
      <c r="I12">
        <v>1.9E-2</v>
      </c>
      <c r="J12">
        <v>27477</v>
      </c>
      <c r="K12">
        <v>0</v>
      </c>
      <c r="L12">
        <v>1048292</v>
      </c>
      <c r="M12">
        <v>18.47</v>
      </c>
      <c r="N12">
        <v>11.550000000000004</v>
      </c>
      <c r="O12">
        <v>24.59</v>
      </c>
      <c r="P12">
        <v>303040</v>
      </c>
      <c r="Q12">
        <v>78200</v>
      </c>
      <c r="R12">
        <v>30</v>
      </c>
      <c r="S12">
        <v>60</v>
      </c>
      <c r="T12">
        <v>5.6</v>
      </c>
      <c r="U12">
        <v>31.9</v>
      </c>
      <c r="V12">
        <v>1000</v>
      </c>
      <c r="W12">
        <v>43</v>
      </c>
      <c r="X12">
        <v>43.65</v>
      </c>
      <c r="Y12">
        <v>1080</v>
      </c>
      <c r="Z12">
        <v>43.45</v>
      </c>
      <c r="AA12">
        <v>21350</v>
      </c>
      <c r="AB12">
        <v>105.05</v>
      </c>
      <c r="AC12">
        <v>200</v>
      </c>
      <c r="AD12">
        <v>104</v>
      </c>
      <c r="AE12">
        <v>105.5</v>
      </c>
      <c r="AF12">
        <v>360</v>
      </c>
      <c r="AG12">
        <v>270.8</v>
      </c>
      <c r="AH12">
        <v>411.95</v>
      </c>
      <c r="AI12">
        <v>102.55</v>
      </c>
      <c r="AJ12">
        <v>282.95</v>
      </c>
      <c r="AK12">
        <v>44600</v>
      </c>
      <c r="AL12">
        <v>12880</v>
      </c>
      <c r="AM12">
        <v>138.30000000000001</v>
      </c>
      <c r="AN12">
        <v>-177.89999999999998</v>
      </c>
      <c r="AO12">
        <v>9.4600000000000009</v>
      </c>
      <c r="AP12">
        <v>45782</v>
      </c>
      <c r="AQ12">
        <v>0</v>
      </c>
      <c r="AR12">
        <v>5009</v>
      </c>
      <c r="AS12">
        <v>-4.8000000000000001E-2</v>
      </c>
      <c r="AT12">
        <v>4</v>
      </c>
      <c r="AU12">
        <v>-33.01</v>
      </c>
      <c r="AV12">
        <v>1.8E-3</v>
      </c>
      <c r="AW12">
        <v>-0.67</v>
      </c>
    </row>
    <row r="13" spans="1:49" x14ac:dyDescent="0.25">
      <c r="A13" t="s">
        <v>15</v>
      </c>
      <c r="B13">
        <v>21350</v>
      </c>
      <c r="E13">
        <v>0.24</v>
      </c>
      <c r="F13">
        <v>1.5E-3</v>
      </c>
      <c r="G13">
        <v>-27.96</v>
      </c>
      <c r="H13">
        <v>3.49</v>
      </c>
      <c r="I13">
        <v>1.4E-2</v>
      </c>
      <c r="J13">
        <v>45467</v>
      </c>
      <c r="K13">
        <v>0</v>
      </c>
      <c r="L13">
        <v>1306193</v>
      </c>
      <c r="M13">
        <v>18.559999999999999</v>
      </c>
      <c r="N13">
        <v>5.6999999999999993</v>
      </c>
      <c r="O13">
        <v>17.239999999999998</v>
      </c>
      <c r="P13">
        <v>431440</v>
      </c>
      <c r="Q13">
        <v>218280</v>
      </c>
      <c r="R13">
        <v>22</v>
      </c>
      <c r="S13">
        <v>42.35</v>
      </c>
      <c r="T13">
        <v>4.2</v>
      </c>
      <c r="U13">
        <v>24.05</v>
      </c>
      <c r="V13">
        <v>640</v>
      </c>
      <c r="W13">
        <v>29</v>
      </c>
      <c r="X13">
        <v>29.85</v>
      </c>
      <c r="Y13">
        <v>80</v>
      </c>
      <c r="Z13">
        <v>29.75</v>
      </c>
      <c r="AA13">
        <v>21400</v>
      </c>
      <c r="AB13">
        <v>140.30000000000001</v>
      </c>
      <c r="AC13">
        <v>80</v>
      </c>
      <c r="AD13">
        <v>140.15</v>
      </c>
      <c r="AE13">
        <v>142</v>
      </c>
      <c r="AF13">
        <v>40</v>
      </c>
      <c r="AG13">
        <v>331.65</v>
      </c>
      <c r="AH13">
        <v>464.05</v>
      </c>
      <c r="AI13">
        <v>139.4</v>
      </c>
      <c r="AJ13">
        <v>318.14999999999998</v>
      </c>
      <c r="AK13">
        <v>12080</v>
      </c>
      <c r="AL13">
        <v>6880</v>
      </c>
      <c r="AM13">
        <v>188.04</v>
      </c>
      <c r="AN13">
        <v>-177.84999999999997</v>
      </c>
      <c r="AO13">
        <v>0</v>
      </c>
      <c r="AP13">
        <v>34108</v>
      </c>
      <c r="AQ13">
        <v>0</v>
      </c>
      <c r="AR13">
        <v>4578</v>
      </c>
      <c r="AS13">
        <v>-5.8999999999999997E-2</v>
      </c>
      <c r="AT13">
        <v>3.49</v>
      </c>
      <c r="AU13">
        <v>-27.96</v>
      </c>
      <c r="AV13">
        <v>1.5E-3</v>
      </c>
      <c r="AW13">
        <v>-0.76</v>
      </c>
    </row>
    <row r="14" spans="1:49" x14ac:dyDescent="0.25">
      <c r="A14" t="s">
        <v>16</v>
      </c>
      <c r="B14">
        <v>43.45</v>
      </c>
      <c r="C14">
        <v>105.05</v>
      </c>
      <c r="E14">
        <v>0.18</v>
      </c>
      <c r="F14">
        <v>1.1999999999999999E-3</v>
      </c>
      <c r="G14">
        <v>-22.43</v>
      </c>
      <c r="H14">
        <v>2.9</v>
      </c>
      <c r="I14">
        <v>0.01</v>
      </c>
      <c r="J14">
        <v>29210</v>
      </c>
      <c r="K14">
        <v>0</v>
      </c>
      <c r="L14">
        <v>775340</v>
      </c>
      <c r="M14">
        <v>18.78</v>
      </c>
      <c r="N14">
        <v>2.0500000000000007</v>
      </c>
      <c r="O14">
        <v>12.98</v>
      </c>
      <c r="P14">
        <v>474120</v>
      </c>
      <c r="Q14">
        <v>66640</v>
      </c>
      <c r="R14">
        <v>16.5</v>
      </c>
      <c r="S14">
        <v>29.6</v>
      </c>
      <c r="T14">
        <v>3.2</v>
      </c>
      <c r="U14">
        <v>18.05</v>
      </c>
      <c r="V14">
        <v>2160</v>
      </c>
      <c r="W14">
        <v>19.2</v>
      </c>
      <c r="X14">
        <v>20</v>
      </c>
      <c r="Y14">
        <v>80</v>
      </c>
      <c r="Z14">
        <v>20.100000000000001</v>
      </c>
      <c r="AA14">
        <v>21450</v>
      </c>
      <c r="AB14">
        <v>183.4</v>
      </c>
      <c r="AC14">
        <v>80</v>
      </c>
      <c r="AD14">
        <v>179.8</v>
      </c>
      <c r="AE14">
        <v>189.95</v>
      </c>
      <c r="AF14">
        <v>1440</v>
      </c>
      <c r="AG14">
        <v>376.45</v>
      </c>
      <c r="AH14">
        <v>511</v>
      </c>
      <c r="AI14">
        <v>178.9</v>
      </c>
      <c r="AJ14">
        <v>364</v>
      </c>
      <c r="AK14">
        <v>3680</v>
      </c>
      <c r="AL14">
        <v>4000</v>
      </c>
      <c r="AM14">
        <v>224.14</v>
      </c>
      <c r="AN14">
        <v>-180.6</v>
      </c>
      <c r="AO14">
        <v>0</v>
      </c>
      <c r="AP14">
        <v>7190</v>
      </c>
      <c r="AQ14">
        <v>0</v>
      </c>
      <c r="AR14">
        <v>3936</v>
      </c>
      <c r="AS14">
        <v>-5.8999999999999997E-2</v>
      </c>
      <c r="AT14">
        <v>2.9</v>
      </c>
      <c r="AU14">
        <v>-22.43</v>
      </c>
      <c r="AV14">
        <v>1.1999999999999999E-3</v>
      </c>
      <c r="AW14">
        <v>-0.82</v>
      </c>
    </row>
    <row r="15" spans="1:49" x14ac:dyDescent="0.25">
      <c r="A15" t="s">
        <v>17</v>
      </c>
      <c r="B15">
        <v>780857</v>
      </c>
      <c r="C15">
        <v>676518</v>
      </c>
      <c r="E15">
        <v>0.12</v>
      </c>
      <c r="F15">
        <v>1E-3</v>
      </c>
      <c r="G15">
        <v>-15.58</v>
      </c>
      <c r="H15">
        <v>2.2400000000000002</v>
      </c>
      <c r="I15">
        <v>7.0000000000000001E-3</v>
      </c>
      <c r="J15">
        <v>58969</v>
      </c>
      <c r="K15">
        <v>0</v>
      </c>
      <c r="L15">
        <v>1164120</v>
      </c>
      <c r="M15">
        <v>18.579999999999998</v>
      </c>
      <c r="N15">
        <v>-1.3499999999999996</v>
      </c>
      <c r="O15">
        <v>8.75</v>
      </c>
      <c r="P15">
        <v>1251880</v>
      </c>
      <c r="Q15">
        <v>193640</v>
      </c>
      <c r="R15">
        <v>10</v>
      </c>
      <c r="S15">
        <v>20.3</v>
      </c>
      <c r="T15">
        <v>2.5499999999999998</v>
      </c>
      <c r="U15">
        <v>13.6</v>
      </c>
      <c r="V15">
        <v>240</v>
      </c>
      <c r="W15">
        <v>12.5</v>
      </c>
      <c r="X15">
        <v>13.3</v>
      </c>
      <c r="Y15">
        <v>1000</v>
      </c>
      <c r="Z15">
        <v>12.25</v>
      </c>
      <c r="AA15">
        <v>21500</v>
      </c>
      <c r="AB15">
        <v>222.1</v>
      </c>
      <c r="AC15">
        <v>360</v>
      </c>
      <c r="AD15">
        <v>222.2</v>
      </c>
      <c r="AE15">
        <v>228.15</v>
      </c>
      <c r="AF15">
        <v>40</v>
      </c>
      <c r="AG15">
        <v>413.4</v>
      </c>
      <c r="AH15">
        <v>564.9</v>
      </c>
      <c r="AI15">
        <v>220.95</v>
      </c>
      <c r="AJ15">
        <v>412.45</v>
      </c>
      <c r="AK15">
        <v>3440</v>
      </c>
      <c r="AL15">
        <v>4080</v>
      </c>
      <c r="AM15">
        <v>289.5</v>
      </c>
      <c r="AN15">
        <v>-190.35</v>
      </c>
      <c r="AO15">
        <v>0</v>
      </c>
      <c r="AP15">
        <v>8812</v>
      </c>
      <c r="AQ15">
        <v>0</v>
      </c>
      <c r="AR15">
        <v>4996</v>
      </c>
      <c r="AS15">
        <v>-5.8999999999999997E-2</v>
      </c>
      <c r="AT15">
        <v>2.2400000000000002</v>
      </c>
      <c r="AU15">
        <v>-15.58</v>
      </c>
      <c r="AV15">
        <v>1E-3</v>
      </c>
      <c r="AW15">
        <v>-0.88</v>
      </c>
    </row>
    <row r="16" spans="1:49" x14ac:dyDescent="0.25">
      <c r="A16" t="s">
        <v>18</v>
      </c>
      <c r="E16">
        <v>0.09</v>
      </c>
      <c r="F16">
        <v>6.9999999999999999E-4</v>
      </c>
      <c r="G16">
        <v>-11.86</v>
      </c>
      <c r="H16">
        <v>1.78</v>
      </c>
      <c r="I16">
        <v>5.0000000000000001E-3</v>
      </c>
      <c r="J16">
        <v>26455</v>
      </c>
      <c r="K16">
        <v>0</v>
      </c>
      <c r="L16">
        <v>558084</v>
      </c>
      <c r="M16">
        <v>19.37</v>
      </c>
      <c r="N16">
        <v>-1.5500000000000007</v>
      </c>
      <c r="O16">
        <v>6.23</v>
      </c>
      <c r="P16">
        <v>554200</v>
      </c>
      <c r="Q16">
        <v>67000</v>
      </c>
      <c r="R16">
        <v>9</v>
      </c>
      <c r="S16">
        <v>13.5</v>
      </c>
      <c r="T16">
        <v>1.95</v>
      </c>
      <c r="U16">
        <v>10.3</v>
      </c>
      <c r="V16">
        <v>1280</v>
      </c>
      <c r="W16">
        <v>8</v>
      </c>
      <c r="X16">
        <v>8.65</v>
      </c>
      <c r="Y16">
        <v>120</v>
      </c>
      <c r="Z16">
        <v>8.75</v>
      </c>
      <c r="AA16">
        <v>21550</v>
      </c>
      <c r="AB16">
        <v>273.64999999999998</v>
      </c>
      <c r="AC16">
        <v>1120</v>
      </c>
      <c r="AD16">
        <v>257.45</v>
      </c>
      <c r="AE16">
        <v>277.85000000000002</v>
      </c>
      <c r="AF16">
        <v>920</v>
      </c>
      <c r="AG16">
        <v>478.05</v>
      </c>
      <c r="AH16">
        <v>611.1</v>
      </c>
      <c r="AI16">
        <v>263.75</v>
      </c>
      <c r="AJ16">
        <v>451.1</v>
      </c>
      <c r="AK16">
        <v>1920</v>
      </c>
      <c r="AL16">
        <v>5880</v>
      </c>
      <c r="AM16">
        <v>346.27</v>
      </c>
      <c r="AN16">
        <v>-177.45000000000005</v>
      </c>
      <c r="AO16">
        <v>0</v>
      </c>
      <c r="AP16">
        <v>1115</v>
      </c>
      <c r="AQ16">
        <v>0</v>
      </c>
      <c r="AR16">
        <v>762</v>
      </c>
      <c r="AS16">
        <v>-5.8999999999999997E-2</v>
      </c>
      <c r="AT16">
        <v>1.78</v>
      </c>
      <c r="AU16">
        <v>-11.86</v>
      </c>
      <c r="AV16">
        <v>6.9999999999999999E-4</v>
      </c>
      <c r="AW16">
        <v>-0.91</v>
      </c>
    </row>
    <row r="17" spans="1:49" x14ac:dyDescent="0.25">
      <c r="A17" t="s">
        <v>19</v>
      </c>
      <c r="B17">
        <v>66603</v>
      </c>
      <c r="C17">
        <v>48194</v>
      </c>
      <c r="E17">
        <v>0.06</v>
      </c>
      <c r="F17">
        <v>5.0000000000000001E-4</v>
      </c>
      <c r="G17">
        <v>-6.43</v>
      </c>
      <c r="H17">
        <v>1.25</v>
      </c>
      <c r="I17">
        <v>3.0000000000000001E-3</v>
      </c>
      <c r="J17">
        <v>55671</v>
      </c>
      <c r="K17">
        <v>0</v>
      </c>
      <c r="L17">
        <v>898237</v>
      </c>
      <c r="M17">
        <v>19.23</v>
      </c>
      <c r="N17">
        <v>-2.6500000000000004</v>
      </c>
      <c r="O17">
        <v>3.99</v>
      </c>
      <c r="P17">
        <v>987760</v>
      </c>
      <c r="Q17">
        <v>187280</v>
      </c>
      <c r="R17">
        <v>6.8</v>
      </c>
      <c r="S17">
        <v>8.75</v>
      </c>
      <c r="T17">
        <v>1.5</v>
      </c>
      <c r="U17">
        <v>7.7</v>
      </c>
      <c r="V17">
        <v>920</v>
      </c>
      <c r="W17">
        <v>5.2</v>
      </c>
      <c r="X17">
        <v>6</v>
      </c>
      <c r="Y17">
        <v>12720</v>
      </c>
      <c r="Z17">
        <v>5.05</v>
      </c>
      <c r="AA17">
        <v>21600</v>
      </c>
      <c r="AB17">
        <v>313.75</v>
      </c>
      <c r="AC17">
        <v>80</v>
      </c>
      <c r="AD17">
        <v>315.05</v>
      </c>
      <c r="AE17">
        <v>320</v>
      </c>
      <c r="AF17">
        <v>40</v>
      </c>
      <c r="AG17">
        <v>575</v>
      </c>
      <c r="AH17">
        <v>648.25</v>
      </c>
      <c r="AI17">
        <v>312.8</v>
      </c>
      <c r="AJ17">
        <v>498.3</v>
      </c>
      <c r="AK17">
        <v>2720</v>
      </c>
      <c r="AL17">
        <v>3440</v>
      </c>
      <c r="AM17">
        <v>449.37</v>
      </c>
      <c r="AN17">
        <v>-184.55</v>
      </c>
      <c r="AO17">
        <v>0</v>
      </c>
      <c r="AP17">
        <v>1225</v>
      </c>
      <c r="AQ17">
        <v>0</v>
      </c>
      <c r="AR17">
        <v>2179</v>
      </c>
      <c r="AS17">
        <v>-5.8999999999999997E-2</v>
      </c>
      <c r="AT17">
        <v>1.25</v>
      </c>
      <c r="AU17">
        <v>-6.43</v>
      </c>
      <c r="AV17">
        <v>5.0000000000000001E-4</v>
      </c>
      <c r="AW17">
        <v>-0.94</v>
      </c>
    </row>
    <row r="18" spans="1:49" x14ac:dyDescent="0.25">
      <c r="A18" t="s">
        <v>20</v>
      </c>
      <c r="B18">
        <v>21800</v>
      </c>
      <c r="C18">
        <v>20500</v>
      </c>
      <c r="E18">
        <v>0.04</v>
      </c>
      <c r="F18">
        <v>4.0000000000000002E-4</v>
      </c>
      <c r="G18">
        <v>-3.09</v>
      </c>
      <c r="H18">
        <v>0.9</v>
      </c>
      <c r="I18">
        <v>2E-3</v>
      </c>
      <c r="J18">
        <v>39889</v>
      </c>
      <c r="K18">
        <v>0</v>
      </c>
      <c r="L18">
        <v>453557</v>
      </c>
      <c r="M18">
        <v>19.59</v>
      </c>
      <c r="N18">
        <v>-2.75</v>
      </c>
      <c r="O18">
        <v>2.85</v>
      </c>
      <c r="P18">
        <v>495400</v>
      </c>
      <c r="Q18">
        <v>160280</v>
      </c>
      <c r="R18">
        <v>5</v>
      </c>
      <c r="S18">
        <v>6.75</v>
      </c>
      <c r="T18">
        <v>1.3</v>
      </c>
      <c r="U18">
        <v>5.95</v>
      </c>
      <c r="V18">
        <v>4080</v>
      </c>
      <c r="W18">
        <v>3</v>
      </c>
      <c r="X18">
        <v>3.2</v>
      </c>
      <c r="Y18">
        <v>3960</v>
      </c>
      <c r="Z18">
        <v>3.2</v>
      </c>
      <c r="AA18">
        <v>21650</v>
      </c>
      <c r="AB18">
        <v>370.3</v>
      </c>
      <c r="AC18">
        <v>360</v>
      </c>
      <c r="AD18">
        <v>334.3</v>
      </c>
      <c r="AE18">
        <v>399.05</v>
      </c>
      <c r="AF18">
        <v>240</v>
      </c>
      <c r="AG18">
        <v>644.35</v>
      </c>
      <c r="AH18">
        <v>672.25</v>
      </c>
      <c r="AI18">
        <v>361.8</v>
      </c>
      <c r="AJ18">
        <v>543.65</v>
      </c>
      <c r="AK18">
        <v>15080</v>
      </c>
      <c r="AL18">
        <v>3640</v>
      </c>
      <c r="AM18">
        <v>437.25</v>
      </c>
      <c r="AN18">
        <v>-173.34999999999997</v>
      </c>
      <c r="AO18">
        <v>0</v>
      </c>
      <c r="AP18">
        <v>276</v>
      </c>
      <c r="AQ18">
        <v>0</v>
      </c>
      <c r="AR18">
        <v>501</v>
      </c>
      <c r="AS18">
        <v>-5.8999999999999997E-2</v>
      </c>
      <c r="AT18">
        <v>0.9</v>
      </c>
      <c r="AU18">
        <v>-3.09</v>
      </c>
      <c r="AV18">
        <v>4.0000000000000002E-4</v>
      </c>
      <c r="AW18">
        <v>-0.96</v>
      </c>
    </row>
    <row r="19" spans="1:49" x14ac:dyDescent="0.25">
      <c r="A19" t="s">
        <v>21</v>
      </c>
      <c r="B19">
        <v>0.85</v>
      </c>
      <c r="C19">
        <v>0.65</v>
      </c>
      <c r="E19">
        <v>0.03</v>
      </c>
      <c r="F19">
        <v>2.9999999999999997E-4</v>
      </c>
      <c r="G19">
        <v>-0.97</v>
      </c>
      <c r="H19">
        <v>0.67</v>
      </c>
      <c r="I19">
        <v>1E-3</v>
      </c>
      <c r="J19">
        <v>53898</v>
      </c>
      <c r="K19">
        <v>0</v>
      </c>
      <c r="L19">
        <v>661413</v>
      </c>
      <c r="M19">
        <v>20.260000000000002</v>
      </c>
      <c r="N19">
        <v>-2.4500000000000002</v>
      </c>
      <c r="O19">
        <v>1.93</v>
      </c>
      <c r="P19">
        <v>1378720</v>
      </c>
      <c r="Q19">
        <v>131640</v>
      </c>
      <c r="R19">
        <v>2.5</v>
      </c>
      <c r="S19">
        <v>5.3</v>
      </c>
      <c r="T19">
        <v>1.05</v>
      </c>
      <c r="U19">
        <v>4.6500000000000004</v>
      </c>
      <c r="V19">
        <v>720</v>
      </c>
      <c r="W19">
        <v>2</v>
      </c>
      <c r="X19">
        <v>2.4500000000000002</v>
      </c>
      <c r="Y19">
        <v>200</v>
      </c>
      <c r="Z19">
        <v>2.2000000000000002</v>
      </c>
      <c r="AA19">
        <v>21700</v>
      </c>
      <c r="AB19">
        <v>415</v>
      </c>
      <c r="AC19">
        <v>40</v>
      </c>
      <c r="AD19">
        <v>415</v>
      </c>
      <c r="AE19">
        <v>461.5</v>
      </c>
      <c r="AF19">
        <v>400</v>
      </c>
      <c r="AG19">
        <v>668.45</v>
      </c>
      <c r="AH19">
        <v>758</v>
      </c>
      <c r="AI19">
        <v>410.2</v>
      </c>
      <c r="AJ19">
        <v>604.5</v>
      </c>
      <c r="AK19">
        <v>880</v>
      </c>
      <c r="AL19">
        <v>4400</v>
      </c>
      <c r="AM19">
        <v>551.32000000000005</v>
      </c>
      <c r="AN19">
        <v>-189.5</v>
      </c>
      <c r="AO19">
        <v>0</v>
      </c>
      <c r="AP19">
        <v>558</v>
      </c>
      <c r="AQ19">
        <v>0</v>
      </c>
      <c r="AR19">
        <v>1368</v>
      </c>
      <c r="AS19">
        <v>-5.8999999999999997E-2</v>
      </c>
      <c r="AT19">
        <v>0.67</v>
      </c>
      <c r="AU19">
        <v>-0.97</v>
      </c>
      <c r="AV19">
        <v>2.9999999999999997E-4</v>
      </c>
      <c r="AW19">
        <v>-0.97</v>
      </c>
    </row>
    <row r="20" spans="1:49" x14ac:dyDescent="0.25">
      <c r="A20" t="s">
        <v>22</v>
      </c>
      <c r="E20">
        <v>0.02</v>
      </c>
      <c r="F20">
        <v>2.0000000000000001E-4</v>
      </c>
      <c r="G20">
        <v>1.59</v>
      </c>
      <c r="H20">
        <v>0.42</v>
      </c>
      <c r="I20">
        <v>1E-3</v>
      </c>
      <c r="J20">
        <v>25243</v>
      </c>
      <c r="K20">
        <v>0</v>
      </c>
      <c r="L20">
        <v>236161</v>
      </c>
      <c r="M20">
        <v>20.22</v>
      </c>
      <c r="N20">
        <v>-2.4000000000000004</v>
      </c>
      <c r="O20">
        <v>1.42</v>
      </c>
      <c r="P20">
        <v>574880</v>
      </c>
      <c r="Q20">
        <v>37680</v>
      </c>
      <c r="R20">
        <v>3.65</v>
      </c>
      <c r="S20">
        <v>3.7</v>
      </c>
      <c r="T20">
        <v>0.85</v>
      </c>
      <c r="U20">
        <v>3.6</v>
      </c>
      <c r="V20">
        <v>400</v>
      </c>
      <c r="W20">
        <v>1.2</v>
      </c>
      <c r="X20">
        <v>1.5</v>
      </c>
      <c r="Y20">
        <v>40</v>
      </c>
      <c r="Z20">
        <v>1.2</v>
      </c>
      <c r="AA20">
        <v>21750</v>
      </c>
      <c r="AB20">
        <v>462.2</v>
      </c>
      <c r="AC20">
        <v>240</v>
      </c>
      <c r="AD20">
        <v>428.95</v>
      </c>
      <c r="AE20">
        <v>510.4</v>
      </c>
      <c r="AF20">
        <v>400</v>
      </c>
      <c r="AG20">
        <v>680</v>
      </c>
      <c r="AH20">
        <v>796.5</v>
      </c>
      <c r="AI20">
        <v>462.2</v>
      </c>
      <c r="AJ20">
        <v>649.70000000000005</v>
      </c>
      <c r="AK20">
        <v>3760</v>
      </c>
      <c r="AL20">
        <v>3760</v>
      </c>
      <c r="AM20">
        <v>645.54</v>
      </c>
      <c r="AN20">
        <v>-187.50000000000006</v>
      </c>
      <c r="AO20">
        <v>0</v>
      </c>
      <c r="AP20">
        <v>245</v>
      </c>
      <c r="AQ20">
        <v>0</v>
      </c>
      <c r="AR20">
        <v>338</v>
      </c>
      <c r="AS20">
        <v>-0.06</v>
      </c>
      <c r="AT20">
        <v>0.42</v>
      </c>
      <c r="AU20">
        <v>1.59</v>
      </c>
      <c r="AV20">
        <v>2.0000000000000001E-4</v>
      </c>
      <c r="AW20">
        <v>-0.98</v>
      </c>
    </row>
    <row r="21" spans="1:49" x14ac:dyDescent="0.25">
      <c r="A21" t="s">
        <v>23</v>
      </c>
      <c r="E21">
        <v>0.01</v>
      </c>
      <c r="F21">
        <v>1E-4</v>
      </c>
      <c r="G21">
        <v>2.61</v>
      </c>
      <c r="H21">
        <v>0.31</v>
      </c>
      <c r="I21">
        <v>1E-3</v>
      </c>
      <c r="J21">
        <v>66603</v>
      </c>
      <c r="K21">
        <v>0</v>
      </c>
      <c r="L21">
        <v>579315</v>
      </c>
      <c r="M21">
        <v>20.95</v>
      </c>
      <c r="N21">
        <v>-1.9</v>
      </c>
      <c r="O21">
        <v>1</v>
      </c>
      <c r="P21">
        <v>900880</v>
      </c>
      <c r="Q21">
        <v>128920</v>
      </c>
      <c r="R21">
        <v>2.15</v>
      </c>
      <c r="S21">
        <v>3.4</v>
      </c>
      <c r="T21">
        <v>0.65</v>
      </c>
      <c r="U21">
        <v>2.75</v>
      </c>
      <c r="V21">
        <v>240</v>
      </c>
      <c r="W21">
        <v>0.85</v>
      </c>
      <c r="X21">
        <v>0.95</v>
      </c>
      <c r="Y21">
        <v>40</v>
      </c>
      <c r="Z21">
        <v>0.85</v>
      </c>
      <c r="AA21">
        <v>21800</v>
      </c>
      <c r="AB21">
        <v>515.95000000000005</v>
      </c>
      <c r="AC21">
        <v>440</v>
      </c>
      <c r="AD21">
        <v>504.55</v>
      </c>
      <c r="AE21">
        <v>515.9</v>
      </c>
      <c r="AF21">
        <v>400</v>
      </c>
      <c r="AG21">
        <v>731.6</v>
      </c>
      <c r="AH21">
        <v>851.65</v>
      </c>
      <c r="AI21">
        <v>507.95</v>
      </c>
      <c r="AJ21">
        <v>701.4</v>
      </c>
      <c r="AK21">
        <v>3600</v>
      </c>
      <c r="AL21">
        <v>2840</v>
      </c>
      <c r="AM21">
        <v>713.37</v>
      </c>
      <c r="AN21">
        <v>-185.44999999999993</v>
      </c>
      <c r="AO21">
        <v>0</v>
      </c>
      <c r="AP21">
        <v>553</v>
      </c>
      <c r="AQ21">
        <v>0</v>
      </c>
      <c r="AR21">
        <v>4632</v>
      </c>
      <c r="AS21">
        <v>-0.06</v>
      </c>
      <c r="AT21">
        <v>0.31</v>
      </c>
      <c r="AU21">
        <v>2.61</v>
      </c>
      <c r="AV21">
        <v>1E-4</v>
      </c>
      <c r="AW21">
        <v>-0.99</v>
      </c>
    </row>
    <row r="22" spans="1:49" x14ac:dyDescent="0.25">
      <c r="A22" t="s">
        <v>24</v>
      </c>
      <c r="E22">
        <v>0.01</v>
      </c>
      <c r="F22">
        <v>1E-4</v>
      </c>
      <c r="G22">
        <v>3.6</v>
      </c>
      <c r="H22">
        <v>0.22</v>
      </c>
      <c r="I22">
        <v>0</v>
      </c>
      <c r="J22">
        <v>9245</v>
      </c>
      <c r="K22">
        <v>0</v>
      </c>
      <c r="L22">
        <v>98822</v>
      </c>
      <c r="M22">
        <v>21.43</v>
      </c>
      <c r="N22">
        <v>-1.7499999999999998</v>
      </c>
      <c r="O22">
        <v>0.87</v>
      </c>
      <c r="P22">
        <v>456080</v>
      </c>
      <c r="Q22">
        <v>80320</v>
      </c>
      <c r="R22">
        <v>1.7</v>
      </c>
      <c r="S22">
        <v>2.2000000000000002</v>
      </c>
      <c r="T22">
        <v>0.55000000000000004</v>
      </c>
      <c r="U22">
        <v>2.2999999999999998</v>
      </c>
      <c r="V22">
        <v>48200</v>
      </c>
      <c r="W22">
        <v>0.55000000000000004</v>
      </c>
      <c r="X22">
        <v>0.7</v>
      </c>
      <c r="Y22">
        <v>80</v>
      </c>
      <c r="Z22">
        <v>0.55000000000000004</v>
      </c>
      <c r="AA22">
        <v>21850</v>
      </c>
      <c r="AB22">
        <v>566.54999999999995</v>
      </c>
      <c r="AC22">
        <v>400</v>
      </c>
      <c r="AD22">
        <v>519.25</v>
      </c>
      <c r="AE22">
        <v>616.25</v>
      </c>
      <c r="AF22">
        <v>400</v>
      </c>
      <c r="AG22">
        <v>676.6</v>
      </c>
      <c r="AH22">
        <v>676.6</v>
      </c>
      <c r="AI22">
        <v>550</v>
      </c>
      <c r="AJ22">
        <v>761.2</v>
      </c>
      <c r="AK22">
        <v>3840</v>
      </c>
      <c r="AL22">
        <v>3640</v>
      </c>
      <c r="AM22">
        <v>573.15</v>
      </c>
      <c r="AN22">
        <v>-194.65000000000009</v>
      </c>
      <c r="AO22">
        <v>0</v>
      </c>
      <c r="AP22">
        <v>35</v>
      </c>
      <c r="AQ22">
        <v>0</v>
      </c>
      <c r="AR22">
        <v>154</v>
      </c>
      <c r="AS22">
        <v>-0.06</v>
      </c>
      <c r="AT22">
        <v>0.22</v>
      </c>
      <c r="AU22">
        <v>3.6</v>
      </c>
      <c r="AV22">
        <v>1E-4</v>
      </c>
      <c r="AW22">
        <v>-0.99</v>
      </c>
    </row>
    <row r="23" spans="1:49" x14ac:dyDescent="0.25">
      <c r="A23" t="s">
        <v>25</v>
      </c>
    </row>
    <row r="24" spans="1:49" x14ac:dyDescent="0.25">
      <c r="A24" t="s">
        <v>26</v>
      </c>
    </row>
    <row r="25" spans="1:49" x14ac:dyDescent="0.25">
      <c r="A25" t="s">
        <v>27</v>
      </c>
    </row>
    <row r="26" spans="1:49" x14ac:dyDescent="0.25">
      <c r="A26" t="s">
        <v>28</v>
      </c>
      <c r="B26">
        <v>17154887</v>
      </c>
      <c r="C26">
        <v>13655478</v>
      </c>
    </row>
    <row r="27" spans="1:49" x14ac:dyDescent="0.25">
      <c r="A27" t="s">
        <v>29</v>
      </c>
      <c r="B27">
        <v>21300</v>
      </c>
      <c r="C27">
        <v>21000</v>
      </c>
    </row>
    <row r="28" spans="1:49" x14ac:dyDescent="0.25">
      <c r="A28" t="s">
        <v>30</v>
      </c>
      <c r="B28">
        <v>62</v>
      </c>
      <c r="C28">
        <v>8.25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449D-EDCC-4FC7-991B-03FA5AB99F92}">
  <sheetPr codeName="Sheet7"/>
  <dimension ref="A1"/>
  <sheetViews>
    <sheetView workbookViewId="0">
      <selection activeCell="A22" sqref="A22"/>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7E4E1-9237-4DB8-938F-CBAFB4BFF0AC}">
  <sheetPr codeName="Sheet4"/>
  <dimension ref="A1:L87"/>
  <sheetViews>
    <sheetView workbookViewId="0">
      <selection activeCell="J54" sqref="J54:L54"/>
    </sheetView>
  </sheetViews>
  <sheetFormatPr defaultRowHeight="15" x14ac:dyDescent="0.25"/>
  <cols>
    <col min="1" max="1" width="9" bestFit="1" customWidth="1"/>
    <col min="8" max="8" width="11.42578125" style="8" bestFit="1" customWidth="1"/>
    <col min="10" max="10" width="11.42578125" style="8" bestFit="1" customWidth="1"/>
    <col min="12" max="12" width="10.5703125" customWidth="1"/>
  </cols>
  <sheetData>
    <row r="1" spans="1:12" x14ac:dyDescent="0.25">
      <c r="A1" t="s">
        <v>79</v>
      </c>
      <c r="B1" t="s">
        <v>36</v>
      </c>
      <c r="C1" t="s">
        <v>78</v>
      </c>
      <c r="D1" t="s">
        <v>77</v>
      </c>
      <c r="E1" t="s">
        <v>80</v>
      </c>
      <c r="F1" t="s">
        <v>70</v>
      </c>
      <c r="G1" t="s">
        <v>81</v>
      </c>
      <c r="H1" s="8" t="s">
        <v>82</v>
      </c>
      <c r="J1" s="9" t="s">
        <v>82</v>
      </c>
      <c r="K1" s="10" t="s">
        <v>89</v>
      </c>
      <c r="L1" s="11" t="s">
        <v>90</v>
      </c>
    </row>
    <row r="2" spans="1:12" x14ac:dyDescent="0.25">
      <c r="J2" s="12"/>
      <c r="K2" s="13"/>
      <c r="L2" s="14"/>
    </row>
    <row r="3" spans="1:12" x14ac:dyDescent="0.25">
      <c r="J3" s="15"/>
      <c r="K3" s="16"/>
      <c r="L3" s="17"/>
    </row>
    <row r="4" spans="1:12" x14ac:dyDescent="0.25">
      <c r="J4" s="15"/>
      <c r="K4" s="16"/>
      <c r="L4" s="17"/>
    </row>
    <row r="5" spans="1:12" x14ac:dyDescent="0.25">
      <c r="J5" s="15"/>
      <c r="K5" s="16"/>
      <c r="L5" s="17"/>
    </row>
    <row r="6" spans="1:12" x14ac:dyDescent="0.25">
      <c r="J6" s="15"/>
      <c r="K6" s="16"/>
      <c r="L6" s="17"/>
    </row>
    <row r="7" spans="1:12" x14ac:dyDescent="0.25">
      <c r="J7" s="15"/>
      <c r="K7" s="16"/>
      <c r="L7" s="17"/>
    </row>
    <row r="8" spans="1:12" x14ac:dyDescent="0.25">
      <c r="J8" s="15"/>
      <c r="K8" s="16"/>
      <c r="L8" s="17"/>
    </row>
    <row r="9" spans="1:12" x14ac:dyDescent="0.25">
      <c r="J9" s="15"/>
      <c r="K9" s="16"/>
      <c r="L9" s="17"/>
    </row>
    <row r="10" spans="1:12" x14ac:dyDescent="0.25">
      <c r="J10" s="15"/>
      <c r="K10" s="16"/>
      <c r="L10" s="17"/>
    </row>
    <row r="11" spans="1:12" x14ac:dyDescent="0.25">
      <c r="J11" s="15"/>
      <c r="K11" s="16"/>
      <c r="L11" s="17"/>
    </row>
    <row r="12" spans="1:12" x14ac:dyDescent="0.25">
      <c r="J12" s="15"/>
      <c r="K12" s="16"/>
      <c r="L12" s="17"/>
    </row>
    <row r="13" spans="1:12" x14ac:dyDescent="0.25">
      <c r="J13" s="15"/>
      <c r="K13" s="16"/>
      <c r="L13" s="17"/>
    </row>
    <row r="14" spans="1:12" x14ac:dyDescent="0.25">
      <c r="J14" s="15"/>
      <c r="K14" s="16"/>
      <c r="L14" s="17"/>
    </row>
    <row r="15" spans="1:12" x14ac:dyDescent="0.25">
      <c r="J15" s="15"/>
      <c r="K15" s="16"/>
      <c r="L15" s="17"/>
    </row>
    <row r="16" spans="1:12" x14ac:dyDescent="0.25">
      <c r="J16" s="15"/>
      <c r="K16" s="16"/>
      <c r="L16" s="17"/>
    </row>
    <row r="17" spans="4:12" x14ac:dyDescent="0.25">
      <c r="J17" s="15"/>
      <c r="K17" s="16"/>
      <c r="L17" s="17"/>
    </row>
    <row r="18" spans="4:12" x14ac:dyDescent="0.25">
      <c r="J18" s="15"/>
      <c r="K18" s="16"/>
      <c r="L18" s="17"/>
    </row>
    <row r="19" spans="4:12" x14ac:dyDescent="0.25">
      <c r="D19" s="3"/>
      <c r="J19" s="15"/>
      <c r="K19" s="16"/>
      <c r="L19" s="17"/>
    </row>
    <row r="20" spans="4:12" x14ac:dyDescent="0.25">
      <c r="J20" s="15"/>
      <c r="K20" s="16"/>
      <c r="L20" s="17"/>
    </row>
    <row r="21" spans="4:12" x14ac:dyDescent="0.25">
      <c r="J21" s="15"/>
      <c r="K21" s="16"/>
      <c r="L21" s="17"/>
    </row>
    <row r="22" spans="4:12" x14ac:dyDescent="0.25">
      <c r="J22" s="15"/>
      <c r="K22" s="16"/>
      <c r="L22" s="17"/>
    </row>
    <row r="23" spans="4:12" x14ac:dyDescent="0.25">
      <c r="J23" s="15"/>
      <c r="K23" s="16"/>
      <c r="L23" s="17"/>
    </row>
    <row r="24" spans="4:12" x14ac:dyDescent="0.25">
      <c r="J24" s="15"/>
      <c r="K24" s="16"/>
      <c r="L24" s="17"/>
    </row>
    <row r="25" spans="4:12" x14ac:dyDescent="0.25">
      <c r="J25" s="15"/>
      <c r="K25" s="16"/>
      <c r="L25" s="17"/>
    </row>
    <row r="26" spans="4:12" x14ac:dyDescent="0.25">
      <c r="J26" s="15"/>
      <c r="K26" s="16"/>
      <c r="L26" s="17"/>
    </row>
    <row r="27" spans="4:12" x14ac:dyDescent="0.25">
      <c r="J27" s="15"/>
      <c r="K27" s="16"/>
      <c r="L27" s="17"/>
    </row>
    <row r="28" spans="4:12" x14ac:dyDescent="0.25">
      <c r="J28" s="15"/>
      <c r="K28" s="16"/>
      <c r="L28" s="17"/>
    </row>
    <row r="29" spans="4:12" x14ac:dyDescent="0.25">
      <c r="J29" s="15"/>
      <c r="K29" s="16"/>
      <c r="L29" s="17"/>
    </row>
    <row r="30" spans="4:12" x14ac:dyDescent="0.25">
      <c r="D30" s="3"/>
      <c r="J30" s="15"/>
      <c r="K30" s="16"/>
      <c r="L30" s="17"/>
    </row>
    <row r="31" spans="4:12" x14ac:dyDescent="0.25">
      <c r="J31" s="15"/>
      <c r="K31" s="16"/>
      <c r="L31" s="17"/>
    </row>
    <row r="32" spans="4:12" x14ac:dyDescent="0.25">
      <c r="J32" s="15"/>
      <c r="K32" s="16"/>
      <c r="L32" s="17"/>
    </row>
    <row r="33" spans="10:12" x14ac:dyDescent="0.25">
      <c r="J33" s="15"/>
      <c r="K33" s="16"/>
      <c r="L33" s="17"/>
    </row>
    <row r="34" spans="10:12" x14ac:dyDescent="0.25">
      <c r="J34" s="15"/>
      <c r="K34" s="16"/>
      <c r="L34" s="17"/>
    </row>
    <row r="35" spans="10:12" x14ac:dyDescent="0.25">
      <c r="J35" s="15"/>
      <c r="K35" s="16"/>
      <c r="L35" s="17"/>
    </row>
    <row r="36" spans="10:12" x14ac:dyDescent="0.25">
      <c r="J36" s="15"/>
      <c r="K36" s="16"/>
      <c r="L36" s="17"/>
    </row>
    <row r="37" spans="10:12" x14ac:dyDescent="0.25">
      <c r="J37" s="15"/>
      <c r="K37" s="16"/>
      <c r="L37" s="17"/>
    </row>
    <row r="38" spans="10:12" x14ac:dyDescent="0.25">
      <c r="J38" s="15"/>
      <c r="K38" s="16"/>
      <c r="L38" s="17"/>
    </row>
    <row r="39" spans="10:12" x14ac:dyDescent="0.25">
      <c r="J39" s="15"/>
      <c r="K39" s="16"/>
      <c r="L39" s="17"/>
    </row>
    <row r="40" spans="10:12" x14ac:dyDescent="0.25">
      <c r="J40" s="15"/>
      <c r="K40" s="16"/>
      <c r="L40" s="17"/>
    </row>
    <row r="41" spans="10:12" x14ac:dyDescent="0.25">
      <c r="J41" s="15"/>
      <c r="K41" s="16"/>
      <c r="L41" s="17"/>
    </row>
    <row r="42" spans="10:12" x14ac:dyDescent="0.25">
      <c r="J42" s="15"/>
      <c r="K42" s="16"/>
      <c r="L42" s="17"/>
    </row>
    <row r="43" spans="10:12" x14ac:dyDescent="0.25">
      <c r="J43" s="15"/>
      <c r="K43" s="16"/>
      <c r="L43" s="17"/>
    </row>
    <row r="44" spans="10:12" x14ac:dyDescent="0.25">
      <c r="J44" s="15"/>
      <c r="K44" s="16"/>
      <c r="L44" s="17"/>
    </row>
    <row r="45" spans="10:12" x14ac:dyDescent="0.25">
      <c r="J45" s="15"/>
      <c r="K45" s="16"/>
      <c r="L45" s="17"/>
    </row>
    <row r="46" spans="10:12" x14ac:dyDescent="0.25">
      <c r="J46" s="15"/>
      <c r="K46" s="16"/>
      <c r="L46" s="17"/>
    </row>
    <row r="47" spans="10:12" x14ac:dyDescent="0.25">
      <c r="J47" s="15"/>
      <c r="K47" s="16"/>
      <c r="L47" s="17"/>
    </row>
    <row r="48" spans="10:12" x14ac:dyDescent="0.25">
      <c r="J48" s="15"/>
      <c r="K48" s="16"/>
      <c r="L48" s="17"/>
    </row>
    <row r="49" spans="10:12" x14ac:dyDescent="0.25">
      <c r="J49" s="15"/>
      <c r="K49" s="16"/>
      <c r="L49" s="17"/>
    </row>
    <row r="50" spans="10:12" x14ac:dyDescent="0.25">
      <c r="J50" s="15"/>
      <c r="K50" s="16"/>
      <c r="L50" s="17"/>
    </row>
    <row r="51" spans="10:12" x14ac:dyDescent="0.25">
      <c r="J51" s="15"/>
      <c r="K51" s="16"/>
      <c r="L51" s="17"/>
    </row>
    <row r="52" spans="10:12" x14ac:dyDescent="0.25">
      <c r="J52" s="15"/>
      <c r="K52" s="16"/>
      <c r="L52" s="17"/>
    </row>
    <row r="53" spans="10:12" x14ac:dyDescent="0.25">
      <c r="J53" s="15"/>
      <c r="K53" s="16"/>
      <c r="L53" s="17"/>
    </row>
    <row r="54" spans="10:12" x14ac:dyDescent="0.25">
      <c r="J54" s="15"/>
      <c r="K54" s="16"/>
      <c r="L54" s="17"/>
    </row>
    <row r="55" spans="10:12" x14ac:dyDescent="0.25">
      <c r="J55" s="15"/>
      <c r="K55" s="16"/>
      <c r="L55" s="17"/>
    </row>
    <row r="56" spans="10:12" x14ac:dyDescent="0.25">
      <c r="J56" s="15"/>
      <c r="K56" s="16"/>
      <c r="L56" s="17"/>
    </row>
    <row r="57" spans="10:12" x14ac:dyDescent="0.25">
      <c r="J57" s="15"/>
      <c r="K57" s="16"/>
      <c r="L57" s="17"/>
    </row>
    <row r="58" spans="10:12" x14ac:dyDescent="0.25">
      <c r="J58" s="15"/>
      <c r="K58" s="16"/>
      <c r="L58" s="17"/>
    </row>
    <row r="59" spans="10:12" x14ac:dyDescent="0.25">
      <c r="J59" s="15"/>
      <c r="K59" s="16"/>
      <c r="L59" s="17"/>
    </row>
    <row r="60" spans="10:12" x14ac:dyDescent="0.25">
      <c r="J60" s="15"/>
      <c r="K60" s="16"/>
      <c r="L60" s="17"/>
    </row>
    <row r="61" spans="10:12" x14ac:dyDescent="0.25">
      <c r="J61" s="15"/>
      <c r="K61" s="16"/>
      <c r="L61" s="17"/>
    </row>
    <row r="62" spans="10:12" x14ac:dyDescent="0.25">
      <c r="J62" s="15"/>
      <c r="K62" s="16"/>
      <c r="L62" s="17"/>
    </row>
    <row r="63" spans="10:12" x14ac:dyDescent="0.25">
      <c r="J63" s="15"/>
      <c r="K63" s="16"/>
      <c r="L63" s="17"/>
    </row>
    <row r="64" spans="10:12" x14ac:dyDescent="0.25">
      <c r="J64" s="15"/>
      <c r="K64" s="16"/>
      <c r="L64" s="17"/>
    </row>
    <row r="65" spans="10:12" x14ac:dyDescent="0.25">
      <c r="J65" s="15"/>
      <c r="K65" s="16"/>
      <c r="L65" s="17"/>
    </row>
    <row r="66" spans="10:12" x14ac:dyDescent="0.25">
      <c r="J66" s="15"/>
      <c r="K66" s="16"/>
      <c r="L66" s="17"/>
    </row>
    <row r="67" spans="10:12" x14ac:dyDescent="0.25">
      <c r="J67" s="15"/>
      <c r="K67" s="16"/>
      <c r="L67" s="17"/>
    </row>
    <row r="68" spans="10:12" x14ac:dyDescent="0.25">
      <c r="J68" s="15"/>
      <c r="K68" s="16"/>
      <c r="L68" s="17"/>
    </row>
    <row r="69" spans="10:12" x14ac:dyDescent="0.25">
      <c r="J69" s="15"/>
      <c r="K69" s="16"/>
      <c r="L69" s="17"/>
    </row>
    <row r="70" spans="10:12" x14ac:dyDescent="0.25">
      <c r="J70" s="15"/>
      <c r="K70" s="16"/>
      <c r="L70" s="17"/>
    </row>
    <row r="71" spans="10:12" x14ac:dyDescent="0.25">
      <c r="J71" s="15"/>
      <c r="K71" s="16"/>
      <c r="L71" s="17"/>
    </row>
    <row r="72" spans="10:12" x14ac:dyDescent="0.25">
      <c r="J72" s="15"/>
      <c r="K72" s="16"/>
      <c r="L72" s="17"/>
    </row>
    <row r="73" spans="10:12" x14ac:dyDescent="0.25">
      <c r="J73" s="15"/>
      <c r="K73" s="16"/>
      <c r="L73" s="17"/>
    </row>
    <row r="74" spans="10:12" x14ac:dyDescent="0.25">
      <c r="J74" s="15"/>
      <c r="K74" s="16"/>
      <c r="L74" s="17"/>
    </row>
    <row r="75" spans="10:12" x14ac:dyDescent="0.25">
      <c r="J75" s="15"/>
      <c r="K75" s="16"/>
      <c r="L75" s="17"/>
    </row>
    <row r="76" spans="10:12" x14ac:dyDescent="0.25">
      <c r="J76" s="15"/>
      <c r="K76" s="16"/>
      <c r="L76" s="17"/>
    </row>
    <row r="77" spans="10:12" x14ac:dyDescent="0.25">
      <c r="J77" s="15"/>
      <c r="K77" s="16"/>
      <c r="L77" s="17"/>
    </row>
    <row r="78" spans="10:12" x14ac:dyDescent="0.25">
      <c r="J78" s="15"/>
      <c r="K78" s="16"/>
      <c r="L78" s="17"/>
    </row>
    <row r="79" spans="10:12" x14ac:dyDescent="0.25">
      <c r="J79" s="15"/>
      <c r="K79" s="16"/>
      <c r="L79" s="17"/>
    </row>
    <row r="80" spans="10:12" x14ac:dyDescent="0.25">
      <c r="J80" s="15"/>
      <c r="K80" s="16"/>
      <c r="L80" s="17"/>
    </row>
    <row r="81" spans="10:12" x14ac:dyDescent="0.25">
      <c r="J81" s="15"/>
      <c r="K81" s="16"/>
      <c r="L81" s="17"/>
    </row>
    <row r="82" spans="10:12" x14ac:dyDescent="0.25">
      <c r="J82" s="15"/>
      <c r="K82" s="16"/>
      <c r="L82" s="17"/>
    </row>
    <row r="83" spans="10:12" x14ac:dyDescent="0.25">
      <c r="J83" s="15"/>
      <c r="K83" s="16"/>
      <c r="L83" s="17"/>
    </row>
    <row r="84" spans="10:12" x14ac:dyDescent="0.25">
      <c r="J84" s="15"/>
      <c r="K84" s="16"/>
      <c r="L84" s="17"/>
    </row>
    <row r="85" spans="10:12" x14ac:dyDescent="0.25">
      <c r="J85" s="15"/>
      <c r="K85" s="16"/>
      <c r="L85" s="17"/>
    </row>
    <row r="86" spans="10:12" x14ac:dyDescent="0.25">
      <c r="J86" s="15"/>
      <c r="K86" s="16"/>
      <c r="L86" s="17"/>
    </row>
    <row r="87" spans="10:12" x14ac:dyDescent="0.25">
      <c r="J87" s="15"/>
      <c r="K87" s="16"/>
      <c r="L87" s="17"/>
    </row>
  </sheetData>
  <conditionalFormatting sqref="B5:B12">
    <cfRule type="top10" dxfId="10" priority="8" rank="3"/>
  </conditionalFormatting>
  <conditionalFormatting sqref="A5:A12">
    <cfRule type="top10" dxfId="9" priority="7" rank="3"/>
  </conditionalFormatting>
  <conditionalFormatting sqref="C14:C24">
    <cfRule type="top10" dxfId="8" priority="6" rank="3"/>
  </conditionalFormatting>
  <conditionalFormatting sqref="B14:B24">
    <cfRule type="top10" dxfId="7" priority="5" rank="3"/>
  </conditionalFormatting>
  <conditionalFormatting sqref="A14:A24">
    <cfRule type="top10" dxfId="6" priority="4" rank="3"/>
  </conditionalFormatting>
  <conditionalFormatting sqref="C25:C35">
    <cfRule type="top10" dxfId="5" priority="3" rank="3"/>
  </conditionalFormatting>
  <conditionalFormatting sqref="B25:B35">
    <cfRule type="top10" dxfId="4" priority="2" rank="3"/>
  </conditionalFormatting>
  <conditionalFormatting sqref="A25:A35">
    <cfRule type="top10" dxfId="3" priority="1" rank="3"/>
  </conditionalFormatting>
  <conditionalFormatting sqref="C2">
    <cfRule type="top10" dxfId="2" priority="12" rank="3"/>
  </conditionalFormatting>
  <conditionalFormatting sqref="B2">
    <cfRule type="top10" dxfId="1" priority="13" rank="3"/>
  </conditionalFormatting>
  <conditionalFormatting sqref="A2">
    <cfRule type="top10" dxfId="0" priority="14" rank="3"/>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2C6BC-55AA-44C4-BC45-E1841C190814}">
  <sheetPr codeName="Sheet5"/>
  <dimension ref="A1:L1"/>
  <sheetViews>
    <sheetView topLeftCell="A43" workbookViewId="0">
      <selection activeCell="J54" sqref="J54:L54"/>
    </sheetView>
  </sheetViews>
  <sheetFormatPr defaultRowHeight="15" x14ac:dyDescent="0.25"/>
  <cols>
    <col min="8" max="8" width="11.42578125" style="8" bestFit="1" customWidth="1"/>
    <col min="10" max="10" width="11.42578125" style="8" bestFit="1" customWidth="1"/>
  </cols>
  <sheetData>
    <row r="1" spans="1:12" x14ac:dyDescent="0.25">
      <c r="A1" t="s">
        <v>79</v>
      </c>
      <c r="B1" t="s">
        <v>36</v>
      </c>
      <c r="C1" t="s">
        <v>78</v>
      </c>
      <c r="D1" t="s">
        <v>77</v>
      </c>
      <c r="E1" t="s">
        <v>80</v>
      </c>
      <c r="F1" t="s">
        <v>70</v>
      </c>
      <c r="G1" t="s">
        <v>81</v>
      </c>
      <c r="H1" s="8" t="s">
        <v>82</v>
      </c>
      <c r="J1" s="8" t="s">
        <v>82</v>
      </c>
      <c r="K1" s="7" t="s">
        <v>89</v>
      </c>
      <c r="L1" s="7" t="s">
        <v>90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28F06-A1BA-439F-B5BE-157CDB943981}">
  <sheetPr codeName="Sheet6"/>
  <dimension ref="A3:E205"/>
  <sheetViews>
    <sheetView workbookViewId="0">
      <selection activeCell="B3" sqref="B3"/>
    </sheetView>
  </sheetViews>
  <sheetFormatPr defaultRowHeight="15" x14ac:dyDescent="0.25"/>
  <cols>
    <col min="1" max="1" width="13.140625" bestFit="1" customWidth="1"/>
    <col min="2" max="3" width="14" bestFit="1" customWidth="1"/>
    <col min="4" max="7" width="17.85546875" bestFit="1" customWidth="1"/>
    <col min="8" max="8" width="7" bestFit="1" customWidth="1"/>
    <col min="9" max="12" width="6" bestFit="1" customWidth="1"/>
    <col min="13" max="13" width="7.28515625" bestFit="1" customWidth="1"/>
    <col min="14" max="14" width="12.7109375" bestFit="1" customWidth="1"/>
    <col min="15" max="17" width="6" bestFit="1" customWidth="1"/>
    <col min="18" max="18" width="7" bestFit="1" customWidth="1"/>
    <col min="19" max="19" width="8" bestFit="1" customWidth="1"/>
    <col min="20" max="24" width="7" bestFit="1" customWidth="1"/>
    <col min="25" max="25" width="7.28515625" bestFit="1" customWidth="1"/>
    <col min="26" max="27" width="17.85546875" bestFit="1" customWidth="1"/>
  </cols>
  <sheetData>
    <row r="3" spans="1:5" x14ac:dyDescent="0.25">
      <c r="B3" s="4" t="s">
        <v>132</v>
      </c>
    </row>
    <row r="4" spans="1:5" x14ac:dyDescent="0.25">
      <c r="B4">
        <v>22300</v>
      </c>
      <c r="D4" t="s">
        <v>133</v>
      </c>
      <c r="E4" t="s">
        <v>134</v>
      </c>
    </row>
    <row r="5" spans="1:5" x14ac:dyDescent="0.25">
      <c r="A5" s="4" t="s">
        <v>83</v>
      </c>
      <c r="B5" t="s">
        <v>86</v>
      </c>
      <c r="C5" t="s">
        <v>85</v>
      </c>
    </row>
    <row r="6" spans="1:5" x14ac:dyDescent="0.25">
      <c r="A6" s="5" t="s">
        <v>106</v>
      </c>
      <c r="B6">
        <v>1516468</v>
      </c>
      <c r="C6">
        <v>485870</v>
      </c>
      <c r="D6">
        <v>1516468</v>
      </c>
      <c r="E6">
        <v>485870</v>
      </c>
    </row>
    <row r="7" spans="1:5" x14ac:dyDescent="0.25">
      <c r="A7" s="6" t="s">
        <v>98</v>
      </c>
      <c r="B7">
        <v>169929</v>
      </c>
      <c r="C7">
        <v>54514</v>
      </c>
      <c r="D7">
        <v>169929</v>
      </c>
      <c r="E7">
        <v>54514</v>
      </c>
    </row>
    <row r="8" spans="1:5" x14ac:dyDescent="0.25">
      <c r="A8" s="6" t="s">
        <v>99</v>
      </c>
      <c r="B8">
        <v>169602</v>
      </c>
      <c r="C8">
        <v>55015</v>
      </c>
      <c r="D8">
        <v>169602</v>
      </c>
      <c r="E8">
        <v>55015</v>
      </c>
    </row>
    <row r="9" spans="1:5" x14ac:dyDescent="0.25">
      <c r="A9" s="6" t="s">
        <v>130</v>
      </c>
      <c r="B9">
        <v>339128</v>
      </c>
      <c r="C9">
        <v>110924</v>
      </c>
      <c r="D9">
        <v>339128</v>
      </c>
      <c r="E9">
        <v>110924</v>
      </c>
    </row>
    <row r="10" spans="1:5" x14ac:dyDescent="0.25">
      <c r="A10" s="6" t="s">
        <v>131</v>
      </c>
      <c r="B10">
        <v>170208</v>
      </c>
      <c r="C10">
        <v>55507</v>
      </c>
      <c r="D10">
        <v>170208</v>
      </c>
      <c r="E10">
        <v>55507</v>
      </c>
    </row>
    <row r="11" spans="1:5" x14ac:dyDescent="0.25">
      <c r="A11" s="6" t="s">
        <v>101</v>
      </c>
      <c r="B11">
        <v>168181</v>
      </c>
      <c r="C11">
        <v>55210</v>
      </c>
      <c r="D11">
        <v>168181</v>
      </c>
      <c r="E11">
        <v>55210</v>
      </c>
    </row>
    <row r="12" spans="1:5" x14ac:dyDescent="0.25">
      <c r="A12" s="6" t="s">
        <v>102</v>
      </c>
      <c r="B12">
        <v>167261</v>
      </c>
      <c r="C12">
        <v>54555</v>
      </c>
      <c r="D12">
        <v>167261</v>
      </c>
      <c r="E12">
        <v>54555</v>
      </c>
    </row>
    <row r="13" spans="1:5" x14ac:dyDescent="0.25">
      <c r="A13" s="6" t="s">
        <v>103</v>
      </c>
      <c r="B13">
        <v>165449</v>
      </c>
      <c r="C13">
        <v>50810</v>
      </c>
      <c r="D13">
        <v>165449</v>
      </c>
      <c r="E13">
        <v>50810</v>
      </c>
    </row>
    <row r="14" spans="1:5" x14ac:dyDescent="0.25">
      <c r="A14" s="6" t="s">
        <v>105</v>
      </c>
      <c r="B14">
        <v>166710</v>
      </c>
      <c r="C14">
        <v>49335</v>
      </c>
      <c r="D14">
        <v>166710</v>
      </c>
      <c r="E14">
        <v>49335</v>
      </c>
    </row>
    <row r="15" spans="1:5" x14ac:dyDescent="0.25">
      <c r="A15" s="5" t="s">
        <v>125</v>
      </c>
      <c r="B15">
        <v>3207008</v>
      </c>
      <c r="C15">
        <v>890639</v>
      </c>
      <c r="D15">
        <v>3207008</v>
      </c>
      <c r="E15">
        <v>890639</v>
      </c>
    </row>
    <row r="16" spans="1:5" x14ac:dyDescent="0.25">
      <c r="A16" s="6" t="s">
        <v>107</v>
      </c>
      <c r="B16">
        <v>167634</v>
      </c>
      <c r="C16">
        <v>46889</v>
      </c>
      <c r="D16">
        <v>167634</v>
      </c>
      <c r="E16">
        <v>46889</v>
      </c>
    </row>
    <row r="17" spans="1:5" x14ac:dyDescent="0.25">
      <c r="A17" s="6" t="s">
        <v>109</v>
      </c>
      <c r="B17">
        <v>169356</v>
      </c>
      <c r="C17">
        <v>45820</v>
      </c>
      <c r="D17">
        <v>169356</v>
      </c>
      <c r="E17">
        <v>45820</v>
      </c>
    </row>
    <row r="18" spans="1:5" x14ac:dyDescent="0.25">
      <c r="A18" s="6" t="s">
        <v>110</v>
      </c>
      <c r="B18">
        <v>169842</v>
      </c>
      <c r="C18">
        <v>44913</v>
      </c>
      <c r="D18">
        <v>169842</v>
      </c>
      <c r="E18">
        <v>44913</v>
      </c>
    </row>
    <row r="19" spans="1:5" x14ac:dyDescent="0.25">
      <c r="A19" s="6" t="s">
        <v>111</v>
      </c>
      <c r="B19">
        <v>171322</v>
      </c>
      <c r="C19">
        <v>44437</v>
      </c>
      <c r="D19">
        <v>171322</v>
      </c>
      <c r="E19">
        <v>44437</v>
      </c>
    </row>
    <row r="20" spans="1:5" x14ac:dyDescent="0.25">
      <c r="A20" s="6" t="s">
        <v>112</v>
      </c>
      <c r="B20">
        <v>170860</v>
      </c>
      <c r="C20">
        <v>44347</v>
      </c>
      <c r="D20">
        <v>170860</v>
      </c>
      <c r="E20">
        <v>44347</v>
      </c>
    </row>
    <row r="21" spans="1:5" x14ac:dyDescent="0.25">
      <c r="A21" s="6" t="s">
        <v>113</v>
      </c>
      <c r="B21">
        <v>169277</v>
      </c>
      <c r="C21">
        <v>46157</v>
      </c>
      <c r="D21">
        <v>169277</v>
      </c>
      <c r="E21">
        <v>46157</v>
      </c>
    </row>
    <row r="22" spans="1:5" x14ac:dyDescent="0.25">
      <c r="A22" s="6" t="s">
        <v>114</v>
      </c>
      <c r="B22">
        <v>168504</v>
      </c>
      <c r="C22">
        <v>46408</v>
      </c>
      <c r="D22">
        <v>168504</v>
      </c>
      <c r="E22">
        <v>46408</v>
      </c>
    </row>
    <row r="23" spans="1:5" x14ac:dyDescent="0.25">
      <c r="A23" s="6" t="s">
        <v>115</v>
      </c>
      <c r="B23">
        <v>167279</v>
      </c>
      <c r="C23">
        <v>46829</v>
      </c>
      <c r="D23">
        <v>167279</v>
      </c>
      <c r="E23">
        <v>46829</v>
      </c>
    </row>
    <row r="24" spans="1:5" x14ac:dyDescent="0.25">
      <c r="A24" s="6" t="s">
        <v>116</v>
      </c>
      <c r="B24">
        <v>167221</v>
      </c>
      <c r="C24">
        <v>47073</v>
      </c>
      <c r="D24">
        <v>167221</v>
      </c>
      <c r="E24">
        <v>47073</v>
      </c>
    </row>
    <row r="25" spans="1:5" x14ac:dyDescent="0.25">
      <c r="A25" s="6" t="s">
        <v>117</v>
      </c>
      <c r="B25">
        <v>167214</v>
      </c>
      <c r="C25">
        <v>47939</v>
      </c>
      <c r="D25">
        <v>167214</v>
      </c>
      <c r="E25">
        <v>47939</v>
      </c>
    </row>
    <row r="26" spans="1:5" x14ac:dyDescent="0.25">
      <c r="A26" s="6" t="s">
        <v>118</v>
      </c>
      <c r="B26">
        <v>168541</v>
      </c>
      <c r="C26">
        <v>47543</v>
      </c>
      <c r="D26">
        <v>168541</v>
      </c>
      <c r="E26">
        <v>47543</v>
      </c>
    </row>
    <row r="27" spans="1:5" x14ac:dyDescent="0.25">
      <c r="A27" s="6" t="s">
        <v>119</v>
      </c>
      <c r="B27">
        <v>168536</v>
      </c>
      <c r="C27">
        <v>47217</v>
      </c>
      <c r="D27">
        <v>168536</v>
      </c>
      <c r="E27">
        <v>47217</v>
      </c>
    </row>
    <row r="28" spans="1:5" x14ac:dyDescent="0.25">
      <c r="A28" s="6" t="s">
        <v>120</v>
      </c>
      <c r="B28">
        <v>168642</v>
      </c>
      <c r="C28">
        <v>47468</v>
      </c>
      <c r="D28">
        <v>168642</v>
      </c>
      <c r="E28">
        <v>47468</v>
      </c>
    </row>
    <row r="29" spans="1:5" x14ac:dyDescent="0.25">
      <c r="A29" s="6" t="s">
        <v>121</v>
      </c>
      <c r="B29">
        <v>168877</v>
      </c>
      <c r="C29">
        <v>47256</v>
      </c>
      <c r="D29">
        <v>168877</v>
      </c>
      <c r="E29">
        <v>47256</v>
      </c>
    </row>
    <row r="30" spans="1:5" x14ac:dyDescent="0.25">
      <c r="A30" s="6" t="s">
        <v>100</v>
      </c>
      <c r="B30">
        <v>169806</v>
      </c>
      <c r="C30">
        <v>47222</v>
      </c>
      <c r="D30">
        <v>169806</v>
      </c>
      <c r="E30">
        <v>47222</v>
      </c>
    </row>
    <row r="31" spans="1:5" x14ac:dyDescent="0.25">
      <c r="A31" s="6" t="s">
        <v>122</v>
      </c>
      <c r="B31">
        <v>170107</v>
      </c>
      <c r="C31">
        <v>47308</v>
      </c>
      <c r="D31">
        <v>170107</v>
      </c>
      <c r="E31">
        <v>47308</v>
      </c>
    </row>
    <row r="32" spans="1:5" x14ac:dyDescent="0.25">
      <c r="A32" s="6" t="s">
        <v>123</v>
      </c>
      <c r="B32">
        <v>169544</v>
      </c>
      <c r="C32">
        <v>47684</v>
      </c>
      <c r="D32">
        <v>169544</v>
      </c>
      <c r="E32">
        <v>47684</v>
      </c>
    </row>
    <row r="33" spans="1:5" x14ac:dyDescent="0.25">
      <c r="A33" s="6" t="s">
        <v>124</v>
      </c>
      <c r="B33">
        <v>166932</v>
      </c>
      <c r="C33">
        <v>49015</v>
      </c>
      <c r="D33">
        <v>166932</v>
      </c>
      <c r="E33">
        <v>49015</v>
      </c>
    </row>
    <row r="34" spans="1:5" x14ac:dyDescent="0.25">
      <c r="A34" s="6" t="s">
        <v>104</v>
      </c>
      <c r="B34">
        <v>167514</v>
      </c>
      <c r="C34">
        <v>49114</v>
      </c>
      <c r="D34">
        <v>167514</v>
      </c>
      <c r="E34">
        <v>49114</v>
      </c>
    </row>
    <row r="35" spans="1:5" x14ac:dyDescent="0.25">
      <c r="A35" s="5" t="s">
        <v>135</v>
      </c>
      <c r="B35">
        <v>3361241</v>
      </c>
      <c r="C35">
        <v>957141</v>
      </c>
      <c r="D35">
        <v>3361241</v>
      </c>
      <c r="E35">
        <v>957141</v>
      </c>
    </row>
    <row r="36" spans="1:5" x14ac:dyDescent="0.25">
      <c r="A36" s="6" t="s">
        <v>136</v>
      </c>
      <c r="B36">
        <v>167307</v>
      </c>
      <c r="C36">
        <v>49953</v>
      </c>
      <c r="D36">
        <v>167307</v>
      </c>
      <c r="E36">
        <v>49953</v>
      </c>
    </row>
    <row r="37" spans="1:5" x14ac:dyDescent="0.25">
      <c r="A37" s="6" t="s">
        <v>108</v>
      </c>
      <c r="B37">
        <v>168342</v>
      </c>
      <c r="C37">
        <v>49312</v>
      </c>
      <c r="D37">
        <v>168342</v>
      </c>
      <c r="E37">
        <v>49312</v>
      </c>
    </row>
    <row r="38" spans="1:5" x14ac:dyDescent="0.25">
      <c r="A38" s="6" t="s">
        <v>127</v>
      </c>
      <c r="B38">
        <v>168824</v>
      </c>
      <c r="C38">
        <v>49588</v>
      </c>
      <c r="D38">
        <v>168824</v>
      </c>
      <c r="E38">
        <v>49588</v>
      </c>
    </row>
    <row r="39" spans="1:5" x14ac:dyDescent="0.25">
      <c r="A39" s="6" t="s">
        <v>128</v>
      </c>
      <c r="B39">
        <v>168218</v>
      </c>
      <c r="C39">
        <v>49710</v>
      </c>
      <c r="D39">
        <v>168218</v>
      </c>
      <c r="E39">
        <v>49710</v>
      </c>
    </row>
    <row r="40" spans="1:5" x14ac:dyDescent="0.25">
      <c r="A40" s="6" t="s">
        <v>129</v>
      </c>
      <c r="B40">
        <v>168398</v>
      </c>
      <c r="C40">
        <v>49382</v>
      </c>
      <c r="D40">
        <v>168398</v>
      </c>
      <c r="E40">
        <v>49382</v>
      </c>
    </row>
    <row r="41" spans="1:5" x14ac:dyDescent="0.25">
      <c r="A41" s="6" t="s">
        <v>91</v>
      </c>
      <c r="B41">
        <v>168924</v>
      </c>
      <c r="C41">
        <v>48718</v>
      </c>
      <c r="D41">
        <v>168924</v>
      </c>
      <c r="E41">
        <v>48718</v>
      </c>
    </row>
    <row r="42" spans="1:5" x14ac:dyDescent="0.25">
      <c r="A42" s="6" t="s">
        <v>92</v>
      </c>
      <c r="B42">
        <v>169500</v>
      </c>
      <c r="C42">
        <v>48240</v>
      </c>
      <c r="D42">
        <v>169500</v>
      </c>
      <c r="E42">
        <v>48240</v>
      </c>
    </row>
    <row r="43" spans="1:5" x14ac:dyDescent="0.25">
      <c r="A43" s="6" t="s">
        <v>93</v>
      </c>
      <c r="B43">
        <v>171080</v>
      </c>
      <c r="C43">
        <v>47491</v>
      </c>
      <c r="D43">
        <v>171080</v>
      </c>
      <c r="E43">
        <v>47491</v>
      </c>
    </row>
    <row r="44" spans="1:5" x14ac:dyDescent="0.25">
      <c r="A44" s="6" t="s">
        <v>94</v>
      </c>
      <c r="B44">
        <v>171263</v>
      </c>
      <c r="C44">
        <v>47574</v>
      </c>
      <c r="D44">
        <v>171263</v>
      </c>
      <c r="E44">
        <v>47574</v>
      </c>
    </row>
    <row r="45" spans="1:5" x14ac:dyDescent="0.25">
      <c r="A45" s="6" t="s">
        <v>95</v>
      </c>
      <c r="B45">
        <v>171602</v>
      </c>
      <c r="C45">
        <v>47366</v>
      </c>
      <c r="D45">
        <v>171602</v>
      </c>
      <c r="E45">
        <v>47366</v>
      </c>
    </row>
    <row r="46" spans="1:5" x14ac:dyDescent="0.25">
      <c r="A46" s="6" t="s">
        <v>96</v>
      </c>
      <c r="B46">
        <v>170724</v>
      </c>
      <c r="C46">
        <v>46341</v>
      </c>
      <c r="D46">
        <v>170724</v>
      </c>
      <c r="E46">
        <v>46341</v>
      </c>
    </row>
    <row r="47" spans="1:5" x14ac:dyDescent="0.25">
      <c r="A47" s="6" t="s">
        <v>97</v>
      </c>
      <c r="B47">
        <v>171250</v>
      </c>
      <c r="C47">
        <v>46123</v>
      </c>
      <c r="D47">
        <v>171250</v>
      </c>
      <c r="E47">
        <v>46123</v>
      </c>
    </row>
    <row r="48" spans="1:5" x14ac:dyDescent="0.25">
      <c r="A48" s="6" t="s">
        <v>98</v>
      </c>
      <c r="B48">
        <v>170218</v>
      </c>
      <c r="C48">
        <v>46488</v>
      </c>
      <c r="D48">
        <v>170218</v>
      </c>
      <c r="E48">
        <v>46488</v>
      </c>
    </row>
    <row r="49" spans="1:5" x14ac:dyDescent="0.25">
      <c r="A49" s="6" t="s">
        <v>99</v>
      </c>
      <c r="B49">
        <v>167527</v>
      </c>
      <c r="C49">
        <v>46259</v>
      </c>
      <c r="D49">
        <v>167527</v>
      </c>
      <c r="E49">
        <v>46259</v>
      </c>
    </row>
    <row r="50" spans="1:5" x14ac:dyDescent="0.25">
      <c r="A50" s="6" t="s">
        <v>137</v>
      </c>
      <c r="B50">
        <v>165571</v>
      </c>
      <c r="C50">
        <v>46374</v>
      </c>
      <c r="D50">
        <v>165571</v>
      </c>
      <c r="E50">
        <v>46374</v>
      </c>
    </row>
    <row r="51" spans="1:5" x14ac:dyDescent="0.25">
      <c r="A51" s="6" t="s">
        <v>131</v>
      </c>
      <c r="B51">
        <v>330114</v>
      </c>
      <c r="C51">
        <v>94950</v>
      </c>
      <c r="D51">
        <v>330114</v>
      </c>
      <c r="E51">
        <v>94950</v>
      </c>
    </row>
    <row r="52" spans="1:5" x14ac:dyDescent="0.25">
      <c r="A52" s="6" t="s">
        <v>101</v>
      </c>
      <c r="B52">
        <v>164556</v>
      </c>
      <c r="C52">
        <v>47659</v>
      </c>
      <c r="D52">
        <v>164556</v>
      </c>
      <c r="E52">
        <v>47659</v>
      </c>
    </row>
    <row r="53" spans="1:5" x14ac:dyDescent="0.25">
      <c r="A53" s="6" t="s">
        <v>138</v>
      </c>
      <c r="B53">
        <v>164542</v>
      </c>
      <c r="C53">
        <v>47772</v>
      </c>
      <c r="D53">
        <v>164542</v>
      </c>
      <c r="E53">
        <v>47772</v>
      </c>
    </row>
    <row r="54" spans="1:5" x14ac:dyDescent="0.25">
      <c r="A54" s="6" t="s">
        <v>105</v>
      </c>
      <c r="B54">
        <v>163281</v>
      </c>
      <c r="C54">
        <v>47841</v>
      </c>
      <c r="D54">
        <v>163281</v>
      </c>
      <c r="E54">
        <v>47841</v>
      </c>
    </row>
    <row r="55" spans="1:5" x14ac:dyDescent="0.25">
      <c r="A55" s="5" t="s">
        <v>139</v>
      </c>
      <c r="B55">
        <v>621504</v>
      </c>
      <c r="C55">
        <v>207285</v>
      </c>
      <c r="D55">
        <v>621504</v>
      </c>
      <c r="E55">
        <v>207285</v>
      </c>
    </row>
    <row r="56" spans="1:5" x14ac:dyDescent="0.25">
      <c r="A56" s="6" t="s">
        <v>107</v>
      </c>
      <c r="B56">
        <v>162154</v>
      </c>
      <c r="C56">
        <v>48854</v>
      </c>
      <c r="D56">
        <v>162154</v>
      </c>
      <c r="E56">
        <v>48854</v>
      </c>
    </row>
    <row r="57" spans="1:5" x14ac:dyDescent="0.25">
      <c r="A57" s="6" t="s">
        <v>126</v>
      </c>
      <c r="B57">
        <v>158113</v>
      </c>
      <c r="C57">
        <v>49982</v>
      </c>
      <c r="D57">
        <v>158113</v>
      </c>
      <c r="E57">
        <v>49982</v>
      </c>
    </row>
    <row r="58" spans="1:5" x14ac:dyDescent="0.25">
      <c r="A58" s="6" t="s">
        <v>127</v>
      </c>
      <c r="B58">
        <v>151082</v>
      </c>
      <c r="C58">
        <v>53024</v>
      </c>
      <c r="D58">
        <v>151082</v>
      </c>
      <c r="E58">
        <v>53024</v>
      </c>
    </row>
    <row r="59" spans="1:5" x14ac:dyDescent="0.25">
      <c r="A59" s="6" t="s">
        <v>111</v>
      </c>
      <c r="B59">
        <v>150155</v>
      </c>
      <c r="C59">
        <v>55425</v>
      </c>
      <c r="D59">
        <v>150155</v>
      </c>
      <c r="E59">
        <v>55425</v>
      </c>
    </row>
    <row r="60" spans="1:5" x14ac:dyDescent="0.25">
      <c r="A60" s="5" t="s">
        <v>84</v>
      </c>
      <c r="B60">
        <v>8706221</v>
      </c>
      <c r="C60">
        <v>2540935</v>
      </c>
      <c r="D60">
        <v>8706221</v>
      </c>
      <c r="E60">
        <v>2540935</v>
      </c>
    </row>
    <row r="148" spans="1:3" x14ac:dyDescent="0.25">
      <c r="A148" s="4" t="s">
        <v>77</v>
      </c>
      <c r="B148" s="5">
        <v>22300</v>
      </c>
    </row>
    <row r="150" spans="1:3" x14ac:dyDescent="0.25">
      <c r="A150" s="4" t="s">
        <v>83</v>
      </c>
      <c r="B150" t="s">
        <v>87</v>
      </c>
      <c r="C150" t="s">
        <v>88</v>
      </c>
    </row>
    <row r="151" spans="1:3" x14ac:dyDescent="0.25">
      <c r="A151" s="5" t="s">
        <v>106</v>
      </c>
    </row>
    <row r="152" spans="1:3" x14ac:dyDescent="0.25">
      <c r="A152" s="6" t="s">
        <v>98</v>
      </c>
      <c r="B152">
        <v>0</v>
      </c>
      <c r="C152">
        <v>0</v>
      </c>
    </row>
    <row r="153" spans="1:3" x14ac:dyDescent="0.25">
      <c r="A153" s="6" t="s">
        <v>99</v>
      </c>
      <c r="B153">
        <v>120215</v>
      </c>
      <c r="C153">
        <v>49743</v>
      </c>
    </row>
    <row r="154" spans="1:3" x14ac:dyDescent="0.25">
      <c r="A154" s="6" t="s">
        <v>130</v>
      </c>
      <c r="B154">
        <v>240354</v>
      </c>
      <c r="C154">
        <v>100380</v>
      </c>
    </row>
    <row r="155" spans="1:3" x14ac:dyDescent="0.25">
      <c r="A155" s="6" t="s">
        <v>131</v>
      </c>
      <c r="B155">
        <v>120821</v>
      </c>
      <c r="C155">
        <v>50235</v>
      </c>
    </row>
    <row r="156" spans="1:3" x14ac:dyDescent="0.25">
      <c r="A156" s="6" t="s">
        <v>101</v>
      </c>
      <c r="B156">
        <v>118794</v>
      </c>
      <c r="C156">
        <v>49938</v>
      </c>
    </row>
    <row r="157" spans="1:3" x14ac:dyDescent="0.25">
      <c r="A157" s="6" t="s">
        <v>102</v>
      </c>
      <c r="B157">
        <v>117874</v>
      </c>
      <c r="C157">
        <v>49283</v>
      </c>
    </row>
    <row r="158" spans="1:3" x14ac:dyDescent="0.25">
      <c r="A158" s="6" t="s">
        <v>103</v>
      </c>
      <c r="B158">
        <v>116062</v>
      </c>
      <c r="C158">
        <v>45538</v>
      </c>
    </row>
    <row r="159" spans="1:3" x14ac:dyDescent="0.25">
      <c r="A159" s="6" t="s">
        <v>105</v>
      </c>
      <c r="B159">
        <v>117323</v>
      </c>
      <c r="C159">
        <v>44063</v>
      </c>
    </row>
    <row r="160" spans="1:3" x14ac:dyDescent="0.25">
      <c r="A160" s="5" t="s">
        <v>125</v>
      </c>
    </row>
    <row r="161" spans="1:3" x14ac:dyDescent="0.25">
      <c r="A161" s="6" t="s">
        <v>107</v>
      </c>
      <c r="B161">
        <v>118247</v>
      </c>
      <c r="C161">
        <v>41617</v>
      </c>
    </row>
    <row r="162" spans="1:3" x14ac:dyDescent="0.25">
      <c r="A162" s="6" t="s">
        <v>109</v>
      </c>
      <c r="B162">
        <v>119969</v>
      </c>
      <c r="C162">
        <v>40548</v>
      </c>
    </row>
    <row r="163" spans="1:3" x14ac:dyDescent="0.25">
      <c r="A163" s="6" t="s">
        <v>110</v>
      </c>
      <c r="B163">
        <v>120455</v>
      </c>
      <c r="C163">
        <v>39641</v>
      </c>
    </row>
    <row r="164" spans="1:3" x14ac:dyDescent="0.25">
      <c r="A164" s="6" t="s">
        <v>111</v>
      </c>
      <c r="B164">
        <v>121935</v>
      </c>
      <c r="C164">
        <v>39165</v>
      </c>
    </row>
    <row r="165" spans="1:3" x14ac:dyDescent="0.25">
      <c r="A165" s="6" t="s">
        <v>112</v>
      </c>
      <c r="B165">
        <v>121473</v>
      </c>
      <c r="C165">
        <v>39075</v>
      </c>
    </row>
    <row r="166" spans="1:3" x14ac:dyDescent="0.25">
      <c r="A166" s="6" t="s">
        <v>113</v>
      </c>
      <c r="B166">
        <v>119890</v>
      </c>
      <c r="C166">
        <v>40885</v>
      </c>
    </row>
    <row r="167" spans="1:3" x14ac:dyDescent="0.25">
      <c r="A167" s="6" t="s">
        <v>114</v>
      </c>
      <c r="B167">
        <v>119117</v>
      </c>
      <c r="C167">
        <v>41136</v>
      </c>
    </row>
    <row r="168" spans="1:3" x14ac:dyDescent="0.25">
      <c r="A168" s="6" t="s">
        <v>115</v>
      </c>
      <c r="B168">
        <v>117892</v>
      </c>
      <c r="C168">
        <v>41557</v>
      </c>
    </row>
    <row r="169" spans="1:3" x14ac:dyDescent="0.25">
      <c r="A169" s="6" t="s">
        <v>116</v>
      </c>
      <c r="B169">
        <v>117834</v>
      </c>
      <c r="C169">
        <v>41801</v>
      </c>
    </row>
    <row r="170" spans="1:3" x14ac:dyDescent="0.25">
      <c r="A170" s="6" t="s">
        <v>117</v>
      </c>
      <c r="B170">
        <v>117827</v>
      </c>
      <c r="C170">
        <v>42667</v>
      </c>
    </row>
    <row r="171" spans="1:3" x14ac:dyDescent="0.25">
      <c r="A171" s="6" t="s">
        <v>118</v>
      </c>
      <c r="B171">
        <v>119154</v>
      </c>
      <c r="C171">
        <v>42271</v>
      </c>
    </row>
    <row r="172" spans="1:3" x14ac:dyDescent="0.25">
      <c r="A172" s="6" t="s">
        <v>119</v>
      </c>
      <c r="B172">
        <v>119149</v>
      </c>
      <c r="C172">
        <v>41945</v>
      </c>
    </row>
    <row r="173" spans="1:3" x14ac:dyDescent="0.25">
      <c r="A173" s="6" t="s">
        <v>120</v>
      </c>
      <c r="B173">
        <v>119255</v>
      </c>
      <c r="C173">
        <v>42196</v>
      </c>
    </row>
    <row r="174" spans="1:3" x14ac:dyDescent="0.25">
      <c r="A174" s="6" t="s">
        <v>121</v>
      </c>
      <c r="B174">
        <v>119490</v>
      </c>
      <c r="C174">
        <v>41984</v>
      </c>
    </row>
    <row r="175" spans="1:3" x14ac:dyDescent="0.25">
      <c r="A175" s="6" t="s">
        <v>100</v>
      </c>
      <c r="B175">
        <v>120419</v>
      </c>
      <c r="C175">
        <v>41950</v>
      </c>
    </row>
    <row r="176" spans="1:3" x14ac:dyDescent="0.25">
      <c r="A176" s="6" t="s">
        <v>122</v>
      </c>
      <c r="B176">
        <v>120720</v>
      </c>
      <c r="C176">
        <v>42036</v>
      </c>
    </row>
    <row r="177" spans="1:3" x14ac:dyDescent="0.25">
      <c r="A177" s="6" t="s">
        <v>123</v>
      </c>
      <c r="B177">
        <v>120157</v>
      </c>
      <c r="C177">
        <v>42412</v>
      </c>
    </row>
    <row r="178" spans="1:3" x14ac:dyDescent="0.25">
      <c r="A178" s="6" t="s">
        <v>124</v>
      </c>
      <c r="B178">
        <v>117545</v>
      </c>
      <c r="C178">
        <v>43743</v>
      </c>
    </row>
    <row r="179" spans="1:3" x14ac:dyDescent="0.25">
      <c r="A179" s="6" t="s">
        <v>104</v>
      </c>
      <c r="B179">
        <v>118127</v>
      </c>
      <c r="C179">
        <v>43842</v>
      </c>
    </row>
    <row r="180" spans="1:3" x14ac:dyDescent="0.25">
      <c r="A180" s="5" t="s">
        <v>135</v>
      </c>
    </row>
    <row r="181" spans="1:3" x14ac:dyDescent="0.25">
      <c r="A181" s="6" t="s">
        <v>136</v>
      </c>
      <c r="B181">
        <v>117920</v>
      </c>
      <c r="C181">
        <v>44681</v>
      </c>
    </row>
    <row r="182" spans="1:3" x14ac:dyDescent="0.25">
      <c r="A182" s="6" t="s">
        <v>108</v>
      </c>
      <c r="B182">
        <v>118955</v>
      </c>
      <c r="C182">
        <v>44040</v>
      </c>
    </row>
    <row r="183" spans="1:3" x14ac:dyDescent="0.25">
      <c r="A183" s="6" t="s">
        <v>127</v>
      </c>
      <c r="B183">
        <v>119437</v>
      </c>
      <c r="C183">
        <v>44316</v>
      </c>
    </row>
    <row r="184" spans="1:3" x14ac:dyDescent="0.25">
      <c r="A184" s="6" t="s">
        <v>128</v>
      </c>
      <c r="B184">
        <v>118831</v>
      </c>
      <c r="C184">
        <v>44438</v>
      </c>
    </row>
    <row r="185" spans="1:3" x14ac:dyDescent="0.25">
      <c r="A185" s="6" t="s">
        <v>129</v>
      </c>
      <c r="B185">
        <v>119011</v>
      </c>
      <c r="C185">
        <v>44110</v>
      </c>
    </row>
    <row r="186" spans="1:3" x14ac:dyDescent="0.25">
      <c r="A186" s="6" t="s">
        <v>91</v>
      </c>
      <c r="B186">
        <v>119537</v>
      </c>
      <c r="C186">
        <v>43446</v>
      </c>
    </row>
    <row r="187" spans="1:3" x14ac:dyDescent="0.25">
      <c r="A187" s="6" t="s">
        <v>92</v>
      </c>
      <c r="B187">
        <v>120113</v>
      </c>
      <c r="C187">
        <v>42968</v>
      </c>
    </row>
    <row r="188" spans="1:3" x14ac:dyDescent="0.25">
      <c r="A188" s="6" t="s">
        <v>93</v>
      </c>
      <c r="B188">
        <v>121693</v>
      </c>
      <c r="C188">
        <v>42219</v>
      </c>
    </row>
    <row r="189" spans="1:3" x14ac:dyDescent="0.25">
      <c r="A189" s="6" t="s">
        <v>94</v>
      </c>
      <c r="B189">
        <v>121876</v>
      </c>
      <c r="C189">
        <v>42302</v>
      </c>
    </row>
    <row r="190" spans="1:3" x14ac:dyDescent="0.25">
      <c r="A190" s="6" t="s">
        <v>95</v>
      </c>
      <c r="B190">
        <v>122215</v>
      </c>
      <c r="C190">
        <v>42094</v>
      </c>
    </row>
    <row r="191" spans="1:3" x14ac:dyDescent="0.25">
      <c r="A191" s="6" t="s">
        <v>96</v>
      </c>
      <c r="B191">
        <v>121337</v>
      </c>
      <c r="C191">
        <v>41069</v>
      </c>
    </row>
    <row r="192" spans="1:3" x14ac:dyDescent="0.25">
      <c r="A192" s="6" t="s">
        <v>97</v>
      </c>
      <c r="B192">
        <v>121863</v>
      </c>
      <c r="C192">
        <v>40851</v>
      </c>
    </row>
    <row r="193" spans="1:3" x14ac:dyDescent="0.25">
      <c r="A193" s="6" t="s">
        <v>98</v>
      </c>
      <c r="B193">
        <v>120831</v>
      </c>
      <c r="C193">
        <v>41216</v>
      </c>
    </row>
    <row r="194" spans="1:3" x14ac:dyDescent="0.25">
      <c r="A194" s="6" t="s">
        <v>99</v>
      </c>
      <c r="B194">
        <v>118140</v>
      </c>
      <c r="C194">
        <v>40987</v>
      </c>
    </row>
    <row r="195" spans="1:3" x14ac:dyDescent="0.25">
      <c r="A195" s="6" t="s">
        <v>137</v>
      </c>
      <c r="B195">
        <v>116184</v>
      </c>
      <c r="C195">
        <v>41102</v>
      </c>
    </row>
    <row r="196" spans="1:3" x14ac:dyDescent="0.25">
      <c r="A196" s="6" t="s">
        <v>131</v>
      </c>
      <c r="B196">
        <v>231340</v>
      </c>
      <c r="C196">
        <v>84406</v>
      </c>
    </row>
    <row r="197" spans="1:3" x14ac:dyDescent="0.25">
      <c r="A197" s="6" t="s">
        <v>101</v>
      </c>
      <c r="B197">
        <v>115169</v>
      </c>
      <c r="C197">
        <v>42387</v>
      </c>
    </row>
    <row r="198" spans="1:3" x14ac:dyDescent="0.25">
      <c r="A198" s="6" t="s">
        <v>138</v>
      </c>
      <c r="B198">
        <v>115155</v>
      </c>
      <c r="C198">
        <v>42500</v>
      </c>
    </row>
    <row r="199" spans="1:3" x14ac:dyDescent="0.25">
      <c r="A199" s="6" t="s">
        <v>105</v>
      </c>
      <c r="B199">
        <v>113894</v>
      </c>
      <c r="C199">
        <v>42569</v>
      </c>
    </row>
    <row r="200" spans="1:3" x14ac:dyDescent="0.25">
      <c r="A200" s="5" t="s">
        <v>139</v>
      </c>
    </row>
    <row r="201" spans="1:3" x14ac:dyDescent="0.25">
      <c r="A201" s="6" t="s">
        <v>107</v>
      </c>
      <c r="B201">
        <v>112767</v>
      </c>
      <c r="C201">
        <v>43582</v>
      </c>
    </row>
    <row r="202" spans="1:3" x14ac:dyDescent="0.25">
      <c r="A202" s="6" t="s">
        <v>126</v>
      </c>
      <c r="B202">
        <v>108726</v>
      </c>
      <c r="C202">
        <v>44710</v>
      </c>
    </row>
    <row r="203" spans="1:3" x14ac:dyDescent="0.25">
      <c r="A203" s="6" t="s">
        <v>127</v>
      </c>
      <c r="B203">
        <v>101695</v>
      </c>
      <c r="C203">
        <v>47752</v>
      </c>
    </row>
    <row r="204" spans="1:3" x14ac:dyDescent="0.25">
      <c r="A204" s="6" t="s">
        <v>111</v>
      </c>
      <c r="B204">
        <v>100768</v>
      </c>
      <c r="C204">
        <v>50153</v>
      </c>
    </row>
    <row r="205" spans="1:3" x14ac:dyDescent="0.25">
      <c r="A205" s="5" t="s">
        <v>84</v>
      </c>
      <c r="B205">
        <v>6017555</v>
      </c>
      <c r="C205">
        <v>2217549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N_BANK</vt:lpstr>
      <vt:lpstr>SENSEX</vt:lpstr>
      <vt:lpstr>BANKEX</vt:lpstr>
      <vt:lpstr>FINNIFTY</vt:lpstr>
      <vt:lpstr>NIFTY</vt:lpstr>
      <vt:lpstr>OptionChain</vt:lpstr>
      <vt:lpstr>OC</vt:lpstr>
      <vt:lpstr>BANK_NIFTY</vt:lpstr>
      <vt:lpstr>1.NIFTY</vt:lpstr>
      <vt:lpstr>1.BANKEX</vt:lpstr>
      <vt:lpstr>1.SENSEX</vt:lpstr>
      <vt:lpstr>1.FINNIFTY</vt:lpstr>
      <vt:lpstr>OIChart</vt:lpstr>
      <vt:lpstr>NData</vt:lpstr>
      <vt:lpstr>BNData</vt:lpstr>
      <vt:lpstr>PivotTable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Bhavesh Pipaliya</dc:creator>
  <cp:lastModifiedBy>Bhavesh Pipaliya</cp:lastModifiedBy>
  <dcterms:created xsi:type="dcterms:W3CDTF">2024-04-10T09:49:12Z</dcterms:created>
  <dcterms:modified xsi:type="dcterms:W3CDTF">2024-06-26T08:13:15Z</dcterms:modified>
</cp:coreProperties>
</file>